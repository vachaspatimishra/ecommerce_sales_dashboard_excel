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4.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5.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6.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F:\Data Analytics\Excel\Mini Project 3\"/>
    </mc:Choice>
  </mc:AlternateContent>
  <xr:revisionPtr revIDLastSave="0" documentId="13_ncr:1_{1A28F209-4760-4D33-95C3-BBDB2F9820C1}" xr6:coauthVersionLast="47" xr6:coauthVersionMax="47" xr10:uidLastSave="{00000000-0000-0000-0000-000000000000}"/>
  <bookViews>
    <workbookView xWindow="-108" yWindow="-108" windowWidth="23256" windowHeight="12456" firstSheet="1" activeTab="4" xr2:uid="{00000000-000D-0000-FFFF-FFFF00000000}"/>
  </bookViews>
  <sheets>
    <sheet name="Orders" sheetId="3" r:id="rId1"/>
    <sheet name="Product Master" sheetId="4" r:id="rId2"/>
    <sheet name="Region Master" sheetId="5" r:id="rId3"/>
    <sheet name="Customer Master" sheetId="6" r:id="rId4"/>
    <sheet name="Dashboard" sheetId="29" r:id="rId5"/>
    <sheet name="Q &amp; A" sheetId="28" r:id="rId6"/>
    <sheet name="2.1" sheetId="7" r:id="rId7"/>
    <sheet name="2.2" sheetId="8" r:id="rId8"/>
    <sheet name="2.3" sheetId="9" r:id="rId9"/>
    <sheet name="4.1" sheetId="10" r:id="rId10"/>
    <sheet name="4.2" sheetId="11" r:id="rId11"/>
    <sheet name="4.3.1" sheetId="12" r:id="rId12"/>
    <sheet name="4.3.2" sheetId="31" r:id="rId13"/>
    <sheet name="4.3.3" sheetId="15" r:id="rId14"/>
    <sheet name="4.3.4" sheetId="16" r:id="rId15"/>
    <sheet name="RegionwiseSales1" sheetId="22" r:id="rId16"/>
    <sheet name="RegionwiseSales2" sheetId="30" r:id="rId17"/>
    <sheet name="PaymentMethod" sheetId="23" r:id="rId18"/>
    <sheet name="DeliveryStatus" sheetId="24" r:id="rId19"/>
    <sheet name="MonthlySales" sheetId="25" r:id="rId20"/>
    <sheet name="AvgOrderValue" sheetId="27" r:id="rId21"/>
  </sheets>
  <definedNames>
    <definedName name="Slicer_Delivery_Status">#N/A</definedName>
    <definedName name="Slicer_Payment_Method">#N/A</definedName>
    <definedName name="Slicer_Region">#N/A</definedName>
  </definedNames>
  <calcPr calcId="191029"/>
  <pivotCaches>
    <pivotCache cacheId="0" r:id="rId22"/>
    <pivotCache cacheId="1" r:id="rId23"/>
    <pivotCache cacheId="2" r:id="rId24"/>
  </pivotCaches>
  <extLst>
    <ext xmlns:x14="http://schemas.microsoft.com/office/spreadsheetml/2009/9/main" uri="{BBE1A952-AA13-448e-AADC-164F8A28A991}">
      <x14:slicerCaches>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 i="31" l="1"/>
  <c r="AT6" i="29"/>
  <c r="S101" i="3"/>
  <c r="R101" i="3"/>
  <c r="R101" i="3" a="1"/>
  <c r="Q101" i="3"/>
  <c r="P101" i="3"/>
  <c r="O101" i="3"/>
  <c r="N101" i="3"/>
  <c r="S100" i="3"/>
  <c r="R100" i="3"/>
  <c r="R100" i="3" a="1"/>
  <c r="Q100" i="3"/>
  <c r="P100" i="3"/>
  <c r="O100" i="3"/>
  <c r="N100" i="3"/>
  <c r="S99" i="3"/>
  <c r="R99" i="3"/>
  <c r="R99" i="3" a="1"/>
  <c r="Q99" i="3"/>
  <c r="P99" i="3"/>
  <c r="O99" i="3"/>
  <c r="N99" i="3"/>
  <c r="S98" i="3"/>
  <c r="R98" i="3"/>
  <c r="R98" i="3" a="1"/>
  <c r="Q98" i="3"/>
  <c r="P98" i="3"/>
  <c r="O98" i="3"/>
  <c r="N98" i="3"/>
  <c r="S97" i="3"/>
  <c r="R97" i="3"/>
  <c r="R97" i="3" a="1"/>
  <c r="Q97" i="3"/>
  <c r="P97" i="3"/>
  <c r="O97" i="3"/>
  <c r="N97" i="3"/>
  <c r="S96" i="3"/>
  <c r="R96" i="3"/>
  <c r="R96" i="3" a="1"/>
  <c r="Q96" i="3"/>
  <c r="P96" i="3"/>
  <c r="O96" i="3"/>
  <c r="N96" i="3"/>
  <c r="S95" i="3"/>
  <c r="R95" i="3"/>
  <c r="R95" i="3" a="1"/>
  <c r="Q95" i="3"/>
  <c r="P95" i="3"/>
  <c r="O95" i="3"/>
  <c r="N95" i="3"/>
  <c r="S94" i="3"/>
  <c r="R94" i="3"/>
  <c r="R94" i="3" a="1"/>
  <c r="Q94" i="3"/>
  <c r="P94" i="3"/>
  <c r="O94" i="3"/>
  <c r="N94" i="3"/>
  <c r="S93" i="3"/>
  <c r="R93" i="3"/>
  <c r="R93" i="3" a="1"/>
  <c r="Q93" i="3"/>
  <c r="P93" i="3"/>
  <c r="O93" i="3"/>
  <c r="N93" i="3"/>
  <c r="S92" i="3"/>
  <c r="R92" i="3"/>
  <c r="R92" i="3" a="1"/>
  <c r="Q92" i="3"/>
  <c r="P92" i="3"/>
  <c r="O92" i="3"/>
  <c r="N92" i="3"/>
  <c r="S91" i="3"/>
  <c r="R91" i="3"/>
  <c r="R91" i="3" a="1"/>
  <c r="Q91" i="3"/>
  <c r="P91" i="3"/>
  <c r="O91" i="3"/>
  <c r="N91" i="3"/>
  <c r="S90" i="3"/>
  <c r="R90" i="3"/>
  <c r="R90" i="3" a="1"/>
  <c r="Q90" i="3"/>
  <c r="P90" i="3"/>
  <c r="O90" i="3"/>
  <c r="N90" i="3"/>
  <c r="S89" i="3"/>
  <c r="R89" i="3"/>
  <c r="R89" i="3" a="1"/>
  <c r="Q89" i="3"/>
  <c r="P89" i="3"/>
  <c r="O89" i="3"/>
  <c r="N89" i="3"/>
  <c r="S88" i="3"/>
  <c r="R88" i="3"/>
  <c r="R88" i="3" a="1"/>
  <c r="Q88" i="3"/>
  <c r="P88" i="3"/>
  <c r="O88" i="3"/>
  <c r="N88" i="3"/>
  <c r="S87" i="3"/>
  <c r="R87" i="3"/>
  <c r="R87" i="3" a="1"/>
  <c r="Q87" i="3"/>
  <c r="P87" i="3"/>
  <c r="O87" i="3"/>
  <c r="N87" i="3"/>
  <c r="S86" i="3"/>
  <c r="R86" i="3"/>
  <c r="R86" i="3" a="1"/>
  <c r="Q86" i="3"/>
  <c r="P86" i="3"/>
  <c r="O86" i="3"/>
  <c r="N86" i="3"/>
  <c r="S85" i="3"/>
  <c r="R85" i="3"/>
  <c r="R85" i="3" a="1"/>
  <c r="Q85" i="3"/>
  <c r="P85" i="3"/>
  <c r="O85" i="3"/>
  <c r="N85" i="3"/>
  <c r="S84" i="3"/>
  <c r="R84" i="3"/>
  <c r="R84" i="3" a="1"/>
  <c r="Q84" i="3"/>
  <c r="P84" i="3"/>
  <c r="O84" i="3"/>
  <c r="N84" i="3"/>
  <c r="S83" i="3"/>
  <c r="R83" i="3"/>
  <c r="R83" i="3" a="1"/>
  <c r="Q83" i="3"/>
  <c r="P83" i="3"/>
  <c r="O83" i="3"/>
  <c r="N83" i="3"/>
  <c r="S82" i="3"/>
  <c r="R82" i="3"/>
  <c r="R82" i="3" a="1"/>
  <c r="Q82" i="3"/>
  <c r="P82" i="3"/>
  <c r="O82" i="3"/>
  <c r="N82" i="3"/>
  <c r="S81" i="3"/>
  <c r="R81" i="3"/>
  <c r="R81" i="3" a="1"/>
  <c r="Q81" i="3"/>
  <c r="P81" i="3"/>
  <c r="O81" i="3"/>
  <c r="N81" i="3"/>
  <c r="S80" i="3"/>
  <c r="R80" i="3"/>
  <c r="R80" i="3" a="1"/>
  <c r="Q80" i="3"/>
  <c r="P80" i="3"/>
  <c r="O80" i="3"/>
  <c r="N80" i="3"/>
  <c r="S79" i="3"/>
  <c r="R79" i="3"/>
  <c r="R79" i="3" a="1"/>
  <c r="Q79" i="3"/>
  <c r="P79" i="3"/>
  <c r="O79" i="3"/>
  <c r="N79" i="3"/>
  <c r="S78" i="3"/>
  <c r="R78" i="3"/>
  <c r="R78" i="3" a="1"/>
  <c r="Q78" i="3"/>
  <c r="P78" i="3"/>
  <c r="O78" i="3"/>
  <c r="N78" i="3"/>
  <c r="S77" i="3"/>
  <c r="R77" i="3"/>
  <c r="R77" i="3" a="1"/>
  <c r="Q77" i="3"/>
  <c r="P77" i="3"/>
  <c r="O77" i="3"/>
  <c r="N77" i="3"/>
  <c r="S76" i="3"/>
  <c r="R76" i="3"/>
  <c r="R76" i="3" a="1"/>
  <c r="Q76" i="3"/>
  <c r="P76" i="3"/>
  <c r="O76" i="3"/>
  <c r="N76" i="3"/>
  <c r="S75" i="3"/>
  <c r="R75" i="3"/>
  <c r="R75" i="3" a="1"/>
  <c r="Q75" i="3"/>
  <c r="P75" i="3"/>
  <c r="O75" i="3"/>
  <c r="N75" i="3"/>
  <c r="S74" i="3"/>
  <c r="R74" i="3"/>
  <c r="R74" i="3" a="1"/>
  <c r="Q74" i="3"/>
  <c r="P74" i="3"/>
  <c r="O74" i="3"/>
  <c r="N74" i="3"/>
  <c r="S73" i="3"/>
  <c r="R73" i="3"/>
  <c r="R73" i="3" a="1"/>
  <c r="Q73" i="3"/>
  <c r="P73" i="3"/>
  <c r="O73" i="3"/>
  <c r="N73" i="3"/>
  <c r="S72" i="3"/>
  <c r="R72" i="3"/>
  <c r="R72" i="3" a="1"/>
  <c r="Q72" i="3"/>
  <c r="P72" i="3"/>
  <c r="O72" i="3"/>
  <c r="N72" i="3"/>
  <c r="S71" i="3"/>
  <c r="R71" i="3"/>
  <c r="R71" i="3" a="1"/>
  <c r="Q71" i="3"/>
  <c r="P71" i="3"/>
  <c r="O71" i="3"/>
  <c r="N71" i="3"/>
  <c r="S70" i="3"/>
  <c r="R70" i="3"/>
  <c r="R70" i="3" a="1"/>
  <c r="Q70" i="3"/>
  <c r="P70" i="3"/>
  <c r="O70" i="3"/>
  <c r="N70" i="3"/>
  <c r="S69" i="3"/>
  <c r="R69" i="3"/>
  <c r="R69" i="3" a="1"/>
  <c r="Q69" i="3"/>
  <c r="P69" i="3"/>
  <c r="O69" i="3"/>
  <c r="N69" i="3"/>
  <c r="S68" i="3"/>
  <c r="R68" i="3"/>
  <c r="R68" i="3" a="1"/>
  <c r="Q68" i="3"/>
  <c r="P68" i="3"/>
  <c r="O68" i="3"/>
  <c r="N68" i="3"/>
  <c r="S67" i="3"/>
  <c r="R67" i="3"/>
  <c r="R67" i="3" a="1"/>
  <c r="Q67" i="3"/>
  <c r="P67" i="3"/>
  <c r="O67" i="3"/>
  <c r="N67" i="3"/>
  <c r="S66" i="3"/>
  <c r="R66" i="3"/>
  <c r="R66" i="3" a="1"/>
  <c r="Q66" i="3"/>
  <c r="P66" i="3"/>
  <c r="O66" i="3"/>
  <c r="N66" i="3"/>
  <c r="S65" i="3"/>
  <c r="R65" i="3"/>
  <c r="R65" i="3" a="1"/>
  <c r="Q65" i="3"/>
  <c r="P65" i="3"/>
  <c r="O65" i="3"/>
  <c r="N65" i="3"/>
  <c r="S64" i="3"/>
  <c r="R64" i="3"/>
  <c r="R64" i="3" a="1"/>
  <c r="Q64" i="3"/>
  <c r="P64" i="3"/>
  <c r="O64" i="3"/>
  <c r="N64" i="3"/>
  <c r="S63" i="3"/>
  <c r="R63" i="3"/>
  <c r="R63" i="3" a="1"/>
  <c r="Q63" i="3"/>
  <c r="P63" i="3"/>
  <c r="O63" i="3"/>
  <c r="N63" i="3"/>
  <c r="S62" i="3"/>
  <c r="R62" i="3"/>
  <c r="R62" i="3" a="1"/>
  <c r="Q62" i="3"/>
  <c r="P62" i="3"/>
  <c r="O62" i="3"/>
  <c r="N62" i="3"/>
  <c r="S61" i="3"/>
  <c r="R61" i="3"/>
  <c r="R61" i="3" a="1"/>
  <c r="Q61" i="3"/>
  <c r="P61" i="3"/>
  <c r="O61" i="3"/>
  <c r="N61" i="3"/>
  <c r="S60" i="3"/>
  <c r="R60" i="3"/>
  <c r="R60" i="3" a="1"/>
  <c r="Q60" i="3"/>
  <c r="P60" i="3"/>
  <c r="O60" i="3"/>
  <c r="N60" i="3"/>
  <c r="S59" i="3"/>
  <c r="R59" i="3"/>
  <c r="R59" i="3" a="1"/>
  <c r="Q59" i="3"/>
  <c r="P59" i="3"/>
  <c r="O59" i="3"/>
  <c r="N59" i="3"/>
  <c r="S58" i="3"/>
  <c r="R58" i="3"/>
  <c r="R58" i="3" a="1"/>
  <c r="Q58" i="3"/>
  <c r="P58" i="3"/>
  <c r="O58" i="3"/>
  <c r="N58" i="3"/>
  <c r="S57" i="3"/>
  <c r="R57" i="3"/>
  <c r="R57" i="3" a="1"/>
  <c r="Q57" i="3"/>
  <c r="P57" i="3"/>
  <c r="O57" i="3"/>
  <c r="N57" i="3"/>
  <c r="S56" i="3"/>
  <c r="R56" i="3"/>
  <c r="R56" i="3" a="1"/>
  <c r="Q56" i="3"/>
  <c r="P56" i="3"/>
  <c r="O56" i="3"/>
  <c r="N56" i="3"/>
  <c r="S55" i="3"/>
  <c r="R55" i="3"/>
  <c r="R55" i="3" a="1"/>
  <c r="Q55" i="3"/>
  <c r="P55" i="3"/>
  <c r="O55" i="3"/>
  <c r="N55" i="3"/>
  <c r="S54" i="3"/>
  <c r="R54" i="3"/>
  <c r="R54" i="3" a="1"/>
  <c r="Q54" i="3"/>
  <c r="P54" i="3"/>
  <c r="O54" i="3"/>
  <c r="N54" i="3"/>
  <c r="S53" i="3"/>
  <c r="R53" i="3"/>
  <c r="R53" i="3" a="1"/>
  <c r="Q53" i="3"/>
  <c r="P53" i="3"/>
  <c r="O53" i="3"/>
  <c r="N53" i="3"/>
  <c r="S52" i="3"/>
  <c r="R52" i="3"/>
  <c r="R52" i="3" a="1"/>
  <c r="Q52" i="3"/>
  <c r="P52" i="3"/>
  <c r="O52" i="3"/>
  <c r="N52" i="3"/>
  <c r="S51" i="3"/>
  <c r="R51" i="3"/>
  <c r="R51" i="3" a="1"/>
  <c r="Q51" i="3"/>
  <c r="P51" i="3"/>
  <c r="O51" i="3"/>
  <c r="N51" i="3"/>
  <c r="S50" i="3"/>
  <c r="R50" i="3"/>
  <c r="R50" i="3" a="1"/>
  <c r="Q50" i="3"/>
  <c r="P50" i="3"/>
  <c r="O50" i="3"/>
  <c r="N50" i="3"/>
  <c r="S49" i="3"/>
  <c r="R49" i="3"/>
  <c r="R49" i="3" a="1"/>
  <c r="Q49" i="3"/>
  <c r="P49" i="3"/>
  <c r="O49" i="3"/>
  <c r="N49" i="3"/>
  <c r="S48" i="3"/>
  <c r="R48" i="3"/>
  <c r="R48" i="3" a="1"/>
  <c r="Q48" i="3"/>
  <c r="P48" i="3"/>
  <c r="O48" i="3"/>
  <c r="N48" i="3"/>
  <c r="S47" i="3"/>
  <c r="R47" i="3"/>
  <c r="R47" i="3" a="1"/>
  <c r="Q47" i="3"/>
  <c r="P47" i="3"/>
  <c r="O47" i="3"/>
  <c r="N47" i="3"/>
  <c r="S46" i="3"/>
  <c r="R46" i="3"/>
  <c r="R46" i="3" a="1"/>
  <c r="Q46" i="3"/>
  <c r="P46" i="3"/>
  <c r="O46" i="3"/>
  <c r="N46" i="3"/>
  <c r="S45" i="3"/>
  <c r="R45" i="3"/>
  <c r="R45" i="3" a="1"/>
  <c r="Q45" i="3"/>
  <c r="P45" i="3"/>
  <c r="O45" i="3"/>
  <c r="N45" i="3"/>
  <c r="S44" i="3"/>
  <c r="R44" i="3"/>
  <c r="R44" i="3" a="1"/>
  <c r="Q44" i="3"/>
  <c r="P44" i="3"/>
  <c r="O44" i="3"/>
  <c r="N44" i="3"/>
  <c r="S43" i="3"/>
  <c r="R43" i="3"/>
  <c r="R43" i="3" a="1"/>
  <c r="Q43" i="3"/>
  <c r="P43" i="3"/>
  <c r="O43" i="3"/>
  <c r="N43" i="3"/>
  <c r="S42" i="3"/>
  <c r="R42" i="3"/>
  <c r="R42" i="3" a="1"/>
  <c r="Q42" i="3"/>
  <c r="P42" i="3"/>
  <c r="O42" i="3"/>
  <c r="N42" i="3"/>
  <c r="S41" i="3"/>
  <c r="R41" i="3"/>
  <c r="R41" i="3" a="1"/>
  <c r="Q41" i="3"/>
  <c r="P41" i="3"/>
  <c r="O41" i="3"/>
  <c r="N41" i="3"/>
  <c r="S40" i="3"/>
  <c r="R40" i="3"/>
  <c r="R40" i="3" a="1"/>
  <c r="Q40" i="3"/>
  <c r="P40" i="3"/>
  <c r="O40" i="3"/>
  <c r="N40" i="3"/>
  <c r="S39" i="3"/>
  <c r="R39" i="3"/>
  <c r="R39" i="3" a="1"/>
  <c r="Q39" i="3"/>
  <c r="P39" i="3"/>
  <c r="O39" i="3"/>
  <c r="N39" i="3"/>
  <c r="S38" i="3"/>
  <c r="R38" i="3"/>
  <c r="R38" i="3" a="1"/>
  <c r="Q38" i="3"/>
  <c r="P38" i="3"/>
  <c r="O38" i="3"/>
  <c r="N38" i="3"/>
  <c r="S37" i="3"/>
  <c r="R37" i="3"/>
  <c r="R37" i="3" a="1"/>
  <c r="Q37" i="3"/>
  <c r="P37" i="3"/>
  <c r="O37" i="3"/>
  <c r="N37" i="3"/>
  <c r="S36" i="3"/>
  <c r="R36" i="3"/>
  <c r="R36" i="3" a="1"/>
  <c r="Q36" i="3"/>
  <c r="P36" i="3"/>
  <c r="O36" i="3"/>
  <c r="N36" i="3"/>
  <c r="S35" i="3"/>
  <c r="R35" i="3"/>
  <c r="R35" i="3" a="1"/>
  <c r="Q35" i="3"/>
  <c r="P35" i="3"/>
  <c r="O35" i="3"/>
  <c r="N35" i="3"/>
  <c r="S34" i="3"/>
  <c r="R34" i="3"/>
  <c r="R34" i="3" a="1"/>
  <c r="Q34" i="3"/>
  <c r="P34" i="3"/>
  <c r="O34" i="3"/>
  <c r="N34" i="3"/>
  <c r="S33" i="3"/>
  <c r="R33" i="3"/>
  <c r="R33" i="3" a="1"/>
  <c r="Q33" i="3"/>
  <c r="P33" i="3"/>
  <c r="O33" i="3"/>
  <c r="N33" i="3"/>
  <c r="S32" i="3"/>
  <c r="R32" i="3"/>
  <c r="R32" i="3" a="1"/>
  <c r="Q32" i="3"/>
  <c r="P32" i="3"/>
  <c r="O32" i="3"/>
  <c r="N32" i="3"/>
  <c r="S31" i="3"/>
  <c r="R31" i="3"/>
  <c r="R31" i="3" a="1"/>
  <c r="Q31" i="3"/>
  <c r="P31" i="3"/>
  <c r="O31" i="3"/>
  <c r="N31" i="3"/>
  <c r="S30" i="3"/>
  <c r="R30" i="3"/>
  <c r="R30" i="3" a="1"/>
  <c r="Q30" i="3"/>
  <c r="P30" i="3"/>
  <c r="O30" i="3"/>
  <c r="N30" i="3"/>
  <c r="S29" i="3"/>
  <c r="R29" i="3"/>
  <c r="R29" i="3" a="1"/>
  <c r="Q29" i="3"/>
  <c r="P29" i="3"/>
  <c r="O29" i="3"/>
  <c r="N29" i="3"/>
  <c r="S28" i="3"/>
  <c r="R28" i="3"/>
  <c r="R28" i="3" a="1"/>
  <c r="Q28" i="3"/>
  <c r="P28" i="3"/>
  <c r="O28" i="3"/>
  <c r="N28" i="3"/>
  <c r="S27" i="3"/>
  <c r="R27" i="3"/>
  <c r="R27" i="3" a="1"/>
  <c r="Q27" i="3"/>
  <c r="P27" i="3"/>
  <c r="O27" i="3"/>
  <c r="N27" i="3"/>
  <c r="S26" i="3"/>
  <c r="R26" i="3"/>
  <c r="R26" i="3" a="1"/>
  <c r="Q26" i="3"/>
  <c r="P26" i="3"/>
  <c r="O26" i="3"/>
  <c r="N26" i="3"/>
  <c r="S25" i="3"/>
  <c r="R25" i="3"/>
  <c r="R25" i="3" a="1"/>
  <c r="Q25" i="3"/>
  <c r="P25" i="3"/>
  <c r="O25" i="3"/>
  <c r="N25" i="3"/>
  <c r="S24" i="3"/>
  <c r="R24" i="3"/>
  <c r="R24" i="3" a="1"/>
  <c r="Q24" i="3"/>
  <c r="P24" i="3"/>
  <c r="O24" i="3"/>
  <c r="N24" i="3"/>
  <c r="S23" i="3"/>
  <c r="R23" i="3"/>
  <c r="R23" i="3" a="1"/>
  <c r="Q23" i="3"/>
  <c r="P23" i="3"/>
  <c r="O23" i="3"/>
  <c r="N23" i="3"/>
  <c r="S22" i="3"/>
  <c r="R22" i="3"/>
  <c r="R22" i="3" a="1"/>
  <c r="Q22" i="3"/>
  <c r="P22" i="3"/>
  <c r="O22" i="3"/>
  <c r="N22" i="3"/>
  <c r="S21" i="3"/>
  <c r="R21" i="3"/>
  <c r="R21" i="3" a="1"/>
  <c r="Q21" i="3"/>
  <c r="P21" i="3"/>
  <c r="O21" i="3"/>
  <c r="N21" i="3"/>
  <c r="S20" i="3"/>
  <c r="R20" i="3"/>
  <c r="R20" i="3" a="1"/>
  <c r="Q20" i="3"/>
  <c r="P20" i="3"/>
  <c r="O20" i="3"/>
  <c r="N20" i="3"/>
  <c r="S19" i="3"/>
  <c r="R19" i="3"/>
  <c r="R19" i="3" a="1"/>
  <c r="Q19" i="3"/>
  <c r="P19" i="3"/>
  <c r="O19" i="3"/>
  <c r="N19" i="3"/>
  <c r="S18" i="3"/>
  <c r="R18" i="3"/>
  <c r="R18" i="3" a="1"/>
  <c r="Q18" i="3"/>
  <c r="P18" i="3"/>
  <c r="O18" i="3"/>
  <c r="N18" i="3"/>
  <c r="S17" i="3"/>
  <c r="R17" i="3"/>
  <c r="R17" i="3" a="1"/>
  <c r="Q17" i="3"/>
  <c r="P17" i="3"/>
  <c r="O17" i="3"/>
  <c r="N17" i="3"/>
  <c r="S16" i="3"/>
  <c r="R16" i="3"/>
  <c r="R16" i="3" a="1"/>
  <c r="Q16" i="3"/>
  <c r="P16" i="3"/>
  <c r="O16" i="3"/>
  <c r="N16" i="3"/>
  <c r="S15" i="3"/>
  <c r="R15" i="3"/>
  <c r="R15" i="3" a="1"/>
  <c r="Q15" i="3"/>
  <c r="P15" i="3"/>
  <c r="O15" i="3"/>
  <c r="N15" i="3"/>
  <c r="S14" i="3"/>
  <c r="R14" i="3"/>
  <c r="R14" i="3" a="1"/>
  <c r="Q14" i="3"/>
  <c r="P14" i="3"/>
  <c r="O14" i="3"/>
  <c r="N14" i="3"/>
  <c r="S13" i="3"/>
  <c r="R13" i="3"/>
  <c r="R13" i="3" a="1"/>
  <c r="Q13" i="3"/>
  <c r="P13" i="3"/>
  <c r="O13" i="3"/>
  <c r="N13" i="3"/>
  <c r="S12" i="3"/>
  <c r="R12" i="3"/>
  <c r="R12" i="3" a="1"/>
  <c r="Q12" i="3"/>
  <c r="P12" i="3"/>
  <c r="O12" i="3"/>
  <c r="N12" i="3"/>
  <c r="S11" i="3"/>
  <c r="R11" i="3"/>
  <c r="R11" i="3" a="1"/>
  <c r="Q11" i="3"/>
  <c r="P11" i="3"/>
  <c r="O11" i="3"/>
  <c r="N11" i="3"/>
  <c r="S10" i="3"/>
  <c r="R10" i="3"/>
  <c r="R10" i="3" a="1"/>
  <c r="Q10" i="3"/>
  <c r="P10" i="3"/>
  <c r="O10" i="3"/>
  <c r="N10" i="3"/>
  <c r="S9" i="3"/>
  <c r="R9" i="3"/>
  <c r="R9" i="3" a="1"/>
  <c r="Q9" i="3"/>
  <c r="P9" i="3"/>
  <c r="O9" i="3"/>
  <c r="N9" i="3"/>
  <c r="S8" i="3"/>
  <c r="R8" i="3"/>
  <c r="R8" i="3" a="1"/>
  <c r="Q8" i="3"/>
  <c r="P8" i="3"/>
  <c r="O8" i="3"/>
  <c r="N8" i="3"/>
  <c r="S7" i="3"/>
  <c r="R7" i="3"/>
  <c r="R7" i="3" a="1"/>
  <c r="Q7" i="3"/>
  <c r="P7" i="3"/>
  <c r="O7" i="3"/>
  <c r="N7" i="3"/>
  <c r="S6" i="3"/>
  <c r="R6" i="3"/>
  <c r="R6" i="3" a="1"/>
  <c r="Q6" i="3"/>
  <c r="P6" i="3"/>
  <c r="O6" i="3"/>
  <c r="N6" i="3"/>
  <c r="S5" i="3"/>
  <c r="R5" i="3"/>
  <c r="R5" i="3" a="1"/>
  <c r="Q5" i="3"/>
  <c r="P5" i="3"/>
  <c r="O5" i="3"/>
  <c r="N5" i="3"/>
  <c r="S4" i="3"/>
  <c r="R4" i="3"/>
  <c r="R4" i="3" a="1"/>
  <c r="Q4" i="3"/>
  <c r="P4" i="3"/>
  <c r="O4" i="3"/>
  <c r="N4" i="3"/>
  <c r="S3" i="3"/>
  <c r="R3" i="3"/>
  <c r="R3" i="3" a="1"/>
  <c r="Q3" i="3"/>
  <c r="P3" i="3"/>
  <c r="O3" i="3"/>
  <c r="N3" i="3"/>
  <c r="S2" i="3"/>
  <c r="R2" i="3"/>
  <c r="R2" i="3" a="1"/>
  <c r="Q2" i="3"/>
  <c r="P2" i="3"/>
  <c r="O2" i="3"/>
  <c r="N2" i="3"/>
  <c r="D4" i="27"/>
  <c r="D7" i="30"/>
  <c r="C7" i="30"/>
  <c r="D6" i="30"/>
  <c r="C6" i="30"/>
  <c r="D5" i="30"/>
  <c r="C5" i="30"/>
  <c r="D4" i="30"/>
  <c r="C4" i="30"/>
  <c r="D3" i="30"/>
  <c r="C3" i="30"/>
  <c r="E10" i="10"/>
  <c r="E9" i="10"/>
  <c r="E8" i="10"/>
  <c r="E7" i="10"/>
  <c r="E6" i="10"/>
  <c r="E5"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<sst xmlns="http://schemas.openxmlformats.org/spreadsheetml/2006/main" count="1220" uniqueCount="358">
  <si>
    <t>Product ID</t>
  </si>
  <si>
    <t>Region</t>
  </si>
  <si>
    <t>Sale Price/Unit</t>
  </si>
  <si>
    <t>Quantity</t>
  </si>
  <si>
    <t>Total Amount</t>
  </si>
  <si>
    <t>Payment Method</t>
  </si>
  <si>
    <t>Delivery Status</t>
  </si>
  <si>
    <t>Fulfillment Partner</t>
  </si>
  <si>
    <t>Order Date</t>
  </si>
  <si>
    <t>Delivery Date</t>
  </si>
  <si>
    <t>Cancel Date</t>
  </si>
  <si>
    <t>PROD012</t>
  </si>
  <si>
    <t>North</t>
  </si>
  <si>
    <t>Apple Pay</t>
  </si>
  <si>
    <t>Cancelled</t>
  </si>
  <si>
    <t>DHL</t>
  </si>
  <si>
    <t>PROD018</t>
  </si>
  <si>
    <t>East</t>
  </si>
  <si>
    <t>Credit Card</t>
  </si>
  <si>
    <t>Delivered</t>
  </si>
  <si>
    <t>PROD013</t>
  </si>
  <si>
    <t>South</t>
  </si>
  <si>
    <t>In Transit</t>
  </si>
  <si>
    <t>USPS</t>
  </si>
  <si>
    <t>PayPal</t>
  </si>
  <si>
    <t>UPS</t>
  </si>
  <si>
    <t>PROD010</t>
  </si>
  <si>
    <t>Amazon Logistics</t>
  </si>
  <si>
    <t>Amazon Pay</t>
  </si>
  <si>
    <t>PROD020</t>
  </si>
  <si>
    <t>Central</t>
  </si>
  <si>
    <t>Debit Card</t>
  </si>
  <si>
    <t>PROD021</t>
  </si>
  <si>
    <t>West</t>
  </si>
  <si>
    <t>PROD019</t>
  </si>
  <si>
    <t>PROD003</t>
  </si>
  <si>
    <t>PROD014</t>
  </si>
  <si>
    <t>FedEx</t>
  </si>
  <si>
    <t>PROD006</t>
  </si>
  <si>
    <t>PROD017</t>
  </si>
  <si>
    <t>PROD005</t>
  </si>
  <si>
    <t>PROD015</t>
  </si>
  <si>
    <t>PROD008</t>
  </si>
  <si>
    <t>PROD001</t>
  </si>
  <si>
    <t>PROD002</t>
  </si>
  <si>
    <t>PROD022</t>
  </si>
  <si>
    <t>PROD009</t>
  </si>
  <si>
    <t>PROD011</t>
  </si>
  <si>
    <t>PROD016</t>
  </si>
  <si>
    <t>PROD007</t>
  </si>
  <si>
    <t>PROD004</t>
  </si>
  <si>
    <t>Order ID</t>
  </si>
  <si>
    <t>Customer ID</t>
  </si>
  <si>
    <t>Product Name</t>
  </si>
  <si>
    <t>ORD0001</t>
  </si>
  <si>
    <t>CUST021</t>
  </si>
  <si>
    <t>ORD0002</t>
  </si>
  <si>
    <t>CUST029</t>
  </si>
  <si>
    <t>ORD0003</t>
  </si>
  <si>
    <t>ORD0004</t>
  </si>
  <si>
    <t>CUST044</t>
  </si>
  <si>
    <t>ORD0005</t>
  </si>
  <si>
    <t>CUST027</t>
  </si>
  <si>
    <t>ORD0006</t>
  </si>
  <si>
    <t>CUST009</t>
  </si>
  <si>
    <t>ORD0007</t>
  </si>
  <si>
    <t>CUST042</t>
  </si>
  <si>
    <t>ORD0008</t>
  </si>
  <si>
    <t>CUST019</t>
  </si>
  <si>
    <t>ORD0009</t>
  </si>
  <si>
    <t>CUST013</t>
  </si>
  <si>
    <t>ORD0010</t>
  </si>
  <si>
    <t>ORD0011</t>
  </si>
  <si>
    <t>CUST046</t>
  </si>
  <si>
    <t>ORD0012</t>
  </si>
  <si>
    <t>CUST045</t>
  </si>
  <si>
    <t>ORD0013</t>
  </si>
  <si>
    <t>CUST023</t>
  </si>
  <si>
    <t>ORD0014</t>
  </si>
  <si>
    <t>CUST033</t>
  </si>
  <si>
    <t>ORD0015</t>
  </si>
  <si>
    <t>ORD0016</t>
  </si>
  <si>
    <t>CUST047</t>
  </si>
  <si>
    <t>ORD0017</t>
  </si>
  <si>
    <t>ORD0018</t>
  </si>
  <si>
    <t>CUST011</t>
  </si>
  <si>
    <t>ORD0019</t>
  </si>
  <si>
    <t>CUST041</t>
  </si>
  <si>
    <t>ORD0020</t>
  </si>
  <si>
    <t>CUST025</t>
  </si>
  <si>
    <t>ORD0021</t>
  </si>
  <si>
    <t>ORD0022</t>
  </si>
  <si>
    <t>ORD0023</t>
  </si>
  <si>
    <t>CUST016</t>
  </si>
  <si>
    <t>ORD0024</t>
  </si>
  <si>
    <t>CUST028</t>
  </si>
  <si>
    <t>ORD0025</t>
  </si>
  <si>
    <t>CUST040</t>
  </si>
  <si>
    <t>ORD0026</t>
  </si>
  <si>
    <t>ORD0027</t>
  </si>
  <si>
    <t>CUST018</t>
  </si>
  <si>
    <t>ORD0028</t>
  </si>
  <si>
    <t>ORD0029</t>
  </si>
  <si>
    <t>CUST007</t>
  </si>
  <si>
    <t>ORD0030</t>
  </si>
  <si>
    <t>CUST008</t>
  </si>
  <si>
    <t>ORD0031</t>
  </si>
  <si>
    <t>CUST014</t>
  </si>
  <si>
    <t>ORD0032</t>
  </si>
  <si>
    <t>CUST037</t>
  </si>
  <si>
    <t>ORD0033</t>
  </si>
  <si>
    <t>ORD0034</t>
  </si>
  <si>
    <t>ORD0035</t>
  </si>
  <si>
    <t>CUST032</t>
  </si>
  <si>
    <t>ORD0036</t>
  </si>
  <si>
    <t>ORD0037</t>
  </si>
  <si>
    <t>ORD0038</t>
  </si>
  <si>
    <t>ORD0039</t>
  </si>
  <si>
    <t>CUST024</t>
  </si>
  <si>
    <t>ORD0040</t>
  </si>
  <si>
    <t>CUST006</t>
  </si>
  <si>
    <t>ORD0041</t>
  </si>
  <si>
    <t>CUST001</t>
  </si>
  <si>
    <t>ORD0042</t>
  </si>
  <si>
    <t>ORD0043</t>
  </si>
  <si>
    <t>ORD0044</t>
  </si>
  <si>
    <t>ORD0045</t>
  </si>
  <si>
    <t>ORD0046</t>
  </si>
  <si>
    <t>CUST039</t>
  </si>
  <si>
    <t>ORD0047</t>
  </si>
  <si>
    <t>ORD0048</t>
  </si>
  <si>
    <t>ORD0049</t>
  </si>
  <si>
    <t>CUST026</t>
  </si>
  <si>
    <t>ORD0050</t>
  </si>
  <si>
    <t>ORD0051</t>
  </si>
  <si>
    <t>ORD0052</t>
  </si>
  <si>
    <t>ORD0053</t>
  </si>
  <si>
    <t>ORD0054</t>
  </si>
  <si>
    <t>ORD0055</t>
  </si>
  <si>
    <t>ORD0056</t>
  </si>
  <si>
    <t>CUST017</t>
  </si>
  <si>
    <t>ORD0057</t>
  </si>
  <si>
    <t>ORD0058</t>
  </si>
  <si>
    <t>ORD0059</t>
  </si>
  <si>
    <t>CUST003</t>
  </si>
  <si>
    <t>ORD0060</t>
  </si>
  <si>
    <t>ORD0061</t>
  </si>
  <si>
    <t>CUST035</t>
  </si>
  <si>
    <t>ORD0062</t>
  </si>
  <si>
    <t>CUST022</t>
  </si>
  <si>
    <t>ORD0063</t>
  </si>
  <si>
    <t>CUST004</t>
  </si>
  <si>
    <t>ORD0064</t>
  </si>
  <si>
    <t>CUST048</t>
  </si>
  <si>
    <t>ORD0065</t>
  </si>
  <si>
    <t>ORD0066</t>
  </si>
  <si>
    <t>ORD0067</t>
  </si>
  <si>
    <t>CUST050</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</si>
  <si>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</si>
  <si>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</si>
  <si>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</si>
  <si>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</si>
  <si>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</si>
  <si>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</si>
  <si>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</si>
  <si>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</si>
  <si>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</si>
  <si>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</si>
  <si>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</si>
  <si>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</si>
  <si>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</si>
  <si>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</si>
  <si>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</si>
  <si>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</si>
  <si>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</si>
  <si>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CUST015</t>
  </si>
  <si>
    <t>ORD0085</t>
  </si>
  <si>
    <t>ORD0086</t>
  </si>
  <si>
    <t>ORD0087</t>
  </si>
  <si>
    <t>CUST043</t>
  </si>
  <si>
    <t>ORD0088</t>
  </si>
  <si>
    <t>ORD0089</t>
  </si>
  <si>
    <t>ORD0090</t>
  </si>
  <si>
    <t>ORD0091</t>
  </si>
  <si>
    <t>CUST031</t>
  </si>
  <si>
    <t>ORD0092</t>
  </si>
  <si>
    <t>ORD0093</t>
  </si>
  <si>
    <t>CUST036</t>
  </si>
  <si>
    <t>ORD0094</t>
  </si>
  <si>
    <t>ORD0095</t>
  </si>
  <si>
    <t>ORD0096</t>
  </si>
  <si>
    <t>ORD0097</t>
  </si>
  <si>
    <t>ORD0098</t>
  </si>
  <si>
    <t>ORD0099</t>
  </si>
  <si>
    <t>CUST034</t>
  </si>
  <si>
    <t>ORD0100</t>
  </si>
  <si>
    <t>Category</t>
  </si>
  <si>
    <t>Cost Price</t>
  </si>
  <si>
    <t>Description</t>
  </si>
  <si>
    <t>Smartphone</t>
  </si>
  <si>
    <t>Electronics</t>
  </si>
  <si>
    <t>Latest model with 5G, dual SIM, and OLED display</t>
  </si>
  <si>
    <t>Action Figure</t>
  </si>
  <si>
    <t>Toys</t>
  </si>
  <si>
    <t>Collectible superhero action figure for ages 8+</t>
  </si>
  <si>
    <t>Cookware Set</t>
  </si>
  <si>
    <t>Home</t>
  </si>
  <si>
    <t>Non-stick 5-piece cookware set for daily use</t>
  </si>
  <si>
    <t>Leg Set</t>
  </si>
  <si>
    <t>300-piece creative building block toy set</t>
  </si>
  <si>
    <t>T-Shirt</t>
  </si>
  <si>
    <t>Fashion</t>
  </si>
  <si>
    <t>Cotton t-shirt, available in multiple colors</t>
  </si>
  <si>
    <t>Shoes</t>
  </si>
  <si>
    <t>Casual wear shoes for men and women</t>
  </si>
  <si>
    <t>Puzzle</t>
  </si>
  <si>
    <t>1000-piece jigsaw puzzle</t>
  </si>
  <si>
    <t>Textbook</t>
  </si>
  <si>
    <t>Books</t>
  </si>
  <si>
    <t>University-level textbook on computer science</t>
  </si>
  <si>
    <t>Magazine</t>
  </si>
  <si>
    <t>Monthly lifestyle magazine</t>
  </si>
  <si>
    <t>Jeans</t>
  </si>
  <si>
    <t>Slim fit denim jeans with stretch</t>
  </si>
  <si>
    <t>Headphones</t>
  </si>
  <si>
    <t>Wireless noise-cancelling over-ear headphones</t>
  </si>
  <si>
    <t>Lamp</t>
  </si>
  <si>
    <t>LED desk lamp with dimmable light</t>
  </si>
  <si>
    <t>Vacuum Cleaner</t>
  </si>
  <si>
    <t>Portable cordless vacuum cleaner</t>
  </si>
  <si>
    <t>Smartwatch</t>
  </si>
  <si>
    <t>Fitness-focused smartwatch with heart rate monitoring</t>
  </si>
  <si>
    <t>Novel</t>
  </si>
  <si>
    <t>Best-selling fiction novel</t>
  </si>
  <si>
    <t>Cookware Set Pro</t>
  </si>
  <si>
    <t>Premium 10-piece stainless steel cookware collection</t>
  </si>
  <si>
    <t>Gaming Mouse</t>
  </si>
  <si>
    <t>High DPI gaming mouse with RGB lighting</t>
  </si>
  <si>
    <t>Doll House</t>
  </si>
  <si>
    <t>Wooden doll house with accessories</t>
  </si>
  <si>
    <t>Formal Shirt</t>
  </si>
  <si>
    <t>Long-sleeve formal shirt for office wear</t>
  </si>
  <si>
    <t>Bluetooth Speaker</t>
  </si>
  <si>
    <t>Portable speaker with deep bass and 12h battery life</t>
  </si>
  <si>
    <t>Wall Clock</t>
  </si>
  <si>
    <t>Silent quartz wall clock with modern design</t>
  </si>
  <si>
    <t>Backpack</t>
  </si>
  <si>
    <t>Waterproof backpack with laptop compartment</t>
  </si>
  <si>
    <t>Sales Target</t>
  </si>
  <si>
    <t>Customer Name</t>
  </si>
  <si>
    <t>Customer Type</t>
  </si>
  <si>
    <t>City</t>
  </si>
  <si>
    <t>State</t>
  </si>
  <si>
    <t>James Miller</t>
  </si>
  <si>
    <t>Business</t>
  </si>
  <si>
    <t>New York</t>
  </si>
  <si>
    <t>CUST002</t>
  </si>
  <si>
    <t>Emily Johnson</t>
  </si>
  <si>
    <t>Prime</t>
  </si>
  <si>
    <t>Seattle</t>
  </si>
  <si>
    <t>Washington</t>
  </si>
  <si>
    <t>Ethan Davis</t>
  </si>
  <si>
    <t>Austin</t>
  </si>
  <si>
    <t>Texas</t>
  </si>
  <si>
    <t>Noah Wilson</t>
  </si>
  <si>
    <t>San Francisco</t>
  </si>
  <si>
    <t>California</t>
  </si>
  <si>
    <t>CUST005</t>
  </si>
  <si>
    <t>Olivia Martinez</t>
  </si>
  <si>
    <t>Ava Robinson</t>
  </si>
  <si>
    <t>Chicago</t>
  </si>
  <si>
    <t>Illinois</t>
  </si>
  <si>
    <t>Liam Walker</t>
  </si>
  <si>
    <t>Harper Young</t>
  </si>
  <si>
    <t>Dallas</t>
  </si>
  <si>
    <t>Jackson Allen</t>
  </si>
  <si>
    <t>CUST010</t>
  </si>
  <si>
    <t>Charlotte Harris</t>
  </si>
  <si>
    <t>Mason Hall</t>
  </si>
  <si>
    <t>Miami</t>
  </si>
  <si>
    <t>Florida</t>
  </si>
  <si>
    <t>CUST012</t>
  </si>
  <si>
    <t>Individual</t>
  </si>
  <si>
    <t>Phoenix</t>
  </si>
  <si>
    <t>Arizona</t>
  </si>
  <si>
    <t>Ava White</t>
  </si>
  <si>
    <t>Elijah Lewis</t>
  </si>
  <si>
    <t>Emma King</t>
  </si>
  <si>
    <t>Grace Scott</t>
  </si>
  <si>
    <t>CUST020</t>
  </si>
  <si>
    <t>Benjamin Wright</t>
  </si>
  <si>
    <t>Zoe Mitchell</t>
  </si>
  <si>
    <t>Charlotte Reed</t>
  </si>
  <si>
    <t>Scarlett Murphy</t>
  </si>
  <si>
    <t>Hazel Brooks</t>
  </si>
  <si>
    <t>Lily Bennett</t>
  </si>
  <si>
    <t>CUST030</t>
  </si>
  <si>
    <t>Mason Collins</t>
  </si>
  <si>
    <t>Luke Gray</t>
  </si>
  <si>
    <t>Hazel Rivera</t>
  </si>
  <si>
    <t>Lily Simmons</t>
  </si>
  <si>
    <t>Scarlett Adams</t>
  </si>
  <si>
    <t>CUST038</t>
  </si>
  <si>
    <t>Luke Torres</t>
  </si>
  <si>
    <t>Logan Ramirez</t>
  </si>
  <si>
    <t>Benjamin Clark</t>
  </si>
  <si>
    <t>Jacob Price</t>
  </si>
  <si>
    <t>Lily Reed</t>
  </si>
  <si>
    <t>Grace Ward</t>
  </si>
  <si>
    <t>CUST049</t>
  </si>
  <si>
    <t>Hazel Gray</t>
  </si>
  <si>
    <t>Product Category</t>
  </si>
  <si>
    <t>Delivery Performance</t>
  </si>
  <si>
    <t>Row Labels</t>
  </si>
  <si>
    <t>Grand Total</t>
  </si>
  <si>
    <t>Column Labels</t>
  </si>
  <si>
    <t>Sum of Total Amount</t>
  </si>
  <si>
    <t>Count of Order ID</t>
  </si>
  <si>
    <t>(All)</t>
  </si>
  <si>
    <t>Cancellation Status</t>
  </si>
  <si>
    <t>No</t>
  </si>
  <si>
    <t>Yes</t>
  </si>
  <si>
    <t>Cancellation Rate</t>
  </si>
  <si>
    <t>Fast</t>
  </si>
  <si>
    <t>NA</t>
  </si>
  <si>
    <t>Slow</t>
  </si>
  <si>
    <t>% of Fast Delivery</t>
  </si>
  <si>
    <t>Jan</t>
  </si>
  <si>
    <t>Feb</t>
  </si>
  <si>
    <t>Mar</t>
  </si>
  <si>
    <t>Apr</t>
  </si>
  <si>
    <t>May</t>
  </si>
  <si>
    <t>Jun</t>
  </si>
  <si>
    <t>Jul</t>
  </si>
  <si>
    <t>Aug</t>
  </si>
  <si>
    <t>Sep</t>
  </si>
  <si>
    <t>Oct</t>
  </si>
  <si>
    <t>Nov</t>
  </si>
  <si>
    <t>Dec</t>
  </si>
  <si>
    <t>Delivery Time (Days)</t>
  </si>
  <si>
    <t>Avg Order Value</t>
  </si>
  <si>
    <t>●     What is the most successful product category in terms of revenue?</t>
  </si>
  <si>
    <t>●     Which region has the highest order cancellation rate?</t>
  </si>
  <si>
    <t>●     How many orders were delivered within 2 days?</t>
  </si>
  <si>
    <t>●      How has the use of XLOOKUP simplified cross-sheet analysis?</t>
  </si>
  <si>
    <t>●      What recommendations would you give to improve delivery performance?</t>
  </si>
  <si>
    <t>Brainstorming Reflection</t>
  </si>
  <si>
    <t>Answers</t>
  </si>
  <si>
    <t xml:space="preserve">XLOOKUP simplified cross-sheet analysis by easily fetching required data from other sheets using common values. It is more efficient as compared to older VLOOKUP or HLOOKUP. </t>
  </si>
  <si>
    <t>3. Use of real time order tracking</t>
  </si>
  <si>
    <t>2. Optimize warehouse processing time</t>
  </si>
  <si>
    <t>1. Improve logistics in high delay regions</t>
  </si>
  <si>
    <t>Sales</t>
  </si>
  <si>
    <t>High</t>
  </si>
  <si>
    <t>Low</t>
  </si>
  <si>
    <t>Fast Delivery %</t>
  </si>
  <si>
    <t>Sum of High</t>
  </si>
  <si>
    <t>Sum of 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</si>
</sst>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font>
    <font>
      <sz val="11"/>
      <color theme="1"/>
      <name val="Calibri"/>
      <family val="2"/>
    </font>
    <font>
      <b/>
      <sz val="11"/>
      <color theme="1"/>
      <name val="Calibri"/>
      <family val="2"/>
      <scheme val="minor"/>
    </font>
    <font>
      <sz val="11"/>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theme="9" tint="-0.499984740745262"/>
        <bgColor indexed="64"/>
      </patternFill>
    </fill>
    <fill>
      <patternFill patternType="solid">
        <fgColor theme="9"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s>
  <cellStyleXfs count="2">
    <xf numFmtId="0" fontId="0" fillId="0" borderId="0"/>
    <xf numFmtId="9" fontId="4" fillId="0" borderId="0" applyFont="0" applyFill="0" applyBorder="0" applyAlignment="0" applyProtection="0"/>
  </cellStyleXfs>
  <cellXfs count="21">
    <xf numFmtId="0" fontId="0" fillId="0" borderId="0" xfId="0"/>
    <xf numFmtId="0" fontId="0" fillId="0" borderId="1" xfId="0" applyBorder="1"/>
    <xf numFmtId="14" fontId="0" fillId="0" borderId="1" xfId="0" applyNumberFormat="1" applyBorder="1"/>
    <xf numFmtId="0" fontId="1" fillId="0" borderId="3" xfId="0" applyFont="1" applyBorder="1" applyAlignment="1">
      <alignment horizontal="left" vertical="center"/>
    </xf>
    <xf numFmtId="0" fontId="1" fillId="0" borderId="3" xfId="0" applyFont="1" applyBorder="1" applyAlignment="1">
      <alignment horizontal="right" vertical="center"/>
    </xf>
    <xf numFmtId="0" fontId="2" fillId="0" borderId="3" xfId="0" applyFont="1" applyBorder="1" applyAlignment="1">
      <alignment horizontal="left" vertical="center"/>
    </xf>
    <xf numFmtId="0" fontId="2" fillId="0" borderId="3" xfId="0" applyFont="1" applyBorder="1" applyAlignment="1">
      <alignment horizontal="right" vertical="center"/>
    </xf>
    <xf numFmtId="3" fontId="2" fillId="0" borderId="3" xfId="0" applyNumberFormat="1" applyFont="1" applyBorder="1"/>
    <xf numFmtId="0" fontId="3" fillId="0" borderId="1" xfId="0" applyFont="1" applyBorder="1"/>
    <xf numFmtId="14" fontId="3" fillId="0" borderId="1" xfId="0" applyNumberFormat="1" applyFont="1" applyBorder="1"/>
    <xf numFmtId="14" fontId="3" fillId="0" borderId="2" xfId="0" applyNumberFormat="1" applyFont="1" applyBorder="1"/>
    <xf numFmtId="0" fontId="0" fillId="0" borderId="0" xfId="0" pivotButton="1"/>
    <xf numFmtId="0" fontId="0" fillId="0" borderId="0" xfId="0" applyAlignment="1">
      <alignment horizontal="left"/>
    </xf>
    <xf numFmtId="0" fontId="3" fillId="0" borderId="0" xfId="0" applyFont="1"/>
    <xf numFmtId="9" fontId="0" fillId="0" borderId="0" xfId="1" applyFont="1"/>
    <xf numFmtId="0" fontId="5" fillId="0" borderId="0" xfId="0" applyFont="1"/>
    <xf numFmtId="0" fontId="0" fillId="2" borderId="0" xfId="0" applyFill="1"/>
    <xf numFmtId="0" fontId="3" fillId="0" borderId="4" xfId="0" applyFont="1" applyBorder="1"/>
    <xf numFmtId="0" fontId="0" fillId="0" borderId="4" xfId="0" applyBorder="1"/>
    <xf numFmtId="0" fontId="0" fillId="3" borderId="0" xfId="0" applyFill="1"/>
    <xf numFmtId="0" fontId="0" fillId="0" borderId="0" xfId="0" applyNumberFormat="1"/>
  </cellXfs>
  <cellStyles count="2">
    <cellStyle name="Normal" xfId="0" builtinId="0"/>
    <cellStyle name="Percent" xfId="1" builtinId="5"/>
  </cellStyles>
  <dxfs count="16">
    <dxf>
      <numFmt numFmtId="1" formatCode="0"/>
    </dxf>
    <dxf>
      <numFmt numFmtId="19" formatCode="dd/mm/yy"/>
      <border diagonalUp="0" diagonalDown="0">
        <left style="thin">
          <color indexed="64"/>
        </left>
        <right style="thin">
          <color indexed="64"/>
        </right>
        <top style="thin">
          <color indexed="64"/>
        </top>
        <bottom style="thin">
          <color indexed="64"/>
        </bottom>
        <vertical/>
        <horizontal/>
      </border>
    </dxf>
    <dxf>
      <numFmt numFmtId="19" formatCode="dd/mm/yy"/>
      <border diagonalUp="0" diagonalDown="0">
        <left style="thin">
          <color indexed="64"/>
        </left>
        <right style="thin">
          <color indexed="64"/>
        </right>
        <top style="thin">
          <color indexed="64"/>
        </top>
        <bottom style="thin">
          <color indexed="64"/>
        </bottom>
        <vertical/>
        <horizontal/>
      </border>
    </dxf>
    <dxf>
      <numFmt numFmtId="19" formatCode="dd/mm/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left style="thin">
          <color indexed="64"/>
        </left>
      </border>
    </dxf>
    <dxf>
      <font>
        <b/>
        <i val="0"/>
        <strike val="0"/>
        <condense val="0"/>
        <extend val="0"/>
        <outline val="0"/>
        <shadow val="0"/>
        <u val="none"/>
        <vertAlign val="baseline"/>
        <sz val="11"/>
        <color theme="1"/>
        <name val="Calibri"/>
        <family val="2"/>
        <scheme val="minor"/>
      </font>
      <numFmt numFmtId="19" formatCode="dd/mm/yy"/>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3.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2.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microsoft.com/office/2007/relationships/slicerCache" Target="slicerCaches/slicerCache3.xml"/><Relationship Id="rId30"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[Mini_Project_Excel_VachaspatiMishra.xlsx]PaymentMethod!PivotTable11</c:name>
    <c:fmtId val="14"/>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sz="1400">
                <a:solidFill>
                  <a:schemeClr val="tx1"/>
                </a:solidFill>
              </a:rPr>
              <a:t>PAYMENT</a:t>
            </a:r>
            <a:r>
              <a:rPr lang="en-US" sz="1400" baseline="0">
                <a:solidFill>
                  <a:schemeClr val="tx1"/>
                </a:solidFill>
              </a:rPr>
              <a:t> METHOD</a:t>
            </a:r>
            <a:endParaRPr lang="en-US" sz="1400">
              <a:solidFill>
                <a:schemeClr val="tx1"/>
              </a:solidFill>
            </a:endParaRPr>
          </a:p>
        </c:rich>
      </c:tx>
      <c:overlay val="0"/>
      <c:spPr>
        <a:noFill/>
        <a:ln>
          <a:noFill/>
        </a:ln>
        <a:effectLst/>
      </c:sp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marker>
          <c:symbol val="none"/>
        </c:marker>
        <c:dLbl>
          <c:idx val="0"/>
          <c:spPr>
            <a:solidFill>
              <a:sysClr val="window" lastClr="FFFFFF"/>
            </a:solidFill>
            <a:ln>
              <a:solidFill>
                <a:srgbClr val="70AD47"/>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3"/>
        <c:spPr>
          <a:solidFill>
            <a:schemeClr val="accent6">
              <a:shade val="53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4"/>
        <c:spPr>
          <a:solidFill>
            <a:schemeClr val="accent6">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5"/>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6"/>
        <c:spPr>
          <a:solidFill>
            <a:schemeClr val="accent6">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7"/>
        <c:spPr>
          <a:solidFill>
            <a:schemeClr val="accent6">
              <a:tint val="5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PaymentMethod!$B$3</c:f>
              <c:strCache>
                <c:ptCount val="1"/>
                <c:pt idx="0">
                  <c:v>Total</c:v>
                </c:pt>
              </c:strCache>
            </c:strRef>
          </c:tx>
          <c:dPt>
            <c:idx val="0"/>
            <c:bubble3D val="0"/>
            <c:spPr>
              <a:solidFill>
                <a:schemeClr val="accent6">
                  <a:shade val="53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8FD8-49A5-B713-06D934C681CB}"/>
              </c:ext>
            </c:extLst>
          </c:dPt>
          <c:dPt>
            <c:idx val="1"/>
            <c:bubble3D val="0"/>
            <c:spPr>
              <a:solidFill>
                <a:schemeClr val="accent6">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8FD8-49A5-B713-06D934C681CB}"/>
              </c:ext>
            </c:extLst>
          </c:dPt>
          <c:dPt>
            <c:idx val="2"/>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8FD8-49A5-B713-06D934C681CB}"/>
              </c:ext>
            </c:extLst>
          </c:dPt>
          <c:dPt>
            <c:idx val="3"/>
            <c:bubble3D val="0"/>
            <c:spPr>
              <a:solidFill>
                <a:schemeClr val="accent6">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8FD8-49A5-B713-06D934C681CB}"/>
              </c:ext>
            </c:extLst>
          </c:dPt>
          <c:dPt>
            <c:idx val="4"/>
            <c:bubble3D val="0"/>
            <c:spPr>
              <a:solidFill>
                <a:schemeClr val="accent6">
                  <a:tint val="5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8FD8-49A5-B713-06D934C681CB}"/>
              </c:ext>
            </c:extLst>
          </c:dPt>
          <c:dLbls>
            <c:spPr>
              <a:solidFill>
                <a:sysClr val="window" lastClr="FFFFFF"/>
              </a:solidFill>
              <a:ln>
                <a:solidFill>
                  <a:srgbClr val="70AD47"/>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PaymentMethod!$A$4:$A$9</c:f>
              <c:strCache>
                <c:ptCount val="5"/>
                <c:pt idx="0">
                  <c:v>Amazon Pay</c:v>
                </c:pt>
                <c:pt idx="1">
                  <c:v>Apple Pay</c:v>
                </c:pt>
                <c:pt idx="2">
                  <c:v>Credit Card</c:v>
                </c:pt>
                <c:pt idx="3">
                  <c:v>Debit Card</c:v>
                </c:pt>
                <c:pt idx="4">
                  <c:v>PayPal</c:v>
                </c:pt>
              </c:strCache>
            </c:strRef>
          </c:cat>
          <c:val>
            <c:numRef>
              <c:f>PaymentMethod!$B$4:$B$9</c:f>
              <c:numCache>
                <c:formatCode>General</c:formatCode>
                <c:ptCount val="5"/>
                <c:pt idx="0">
                  <c:v>4719</c:v>
                </c:pt>
                <c:pt idx="1">
                  <c:v>6144</c:v>
                </c:pt>
                <c:pt idx="2">
                  <c:v>9398</c:v>
                </c:pt>
                <c:pt idx="3">
                  <c:v>8348</c:v>
                </c:pt>
                <c:pt idx="4">
                  <c:v>6649</c:v>
                </c:pt>
              </c:numCache>
            </c:numRef>
          </c:val>
          <c:extLst>
            <c:ext xmlns:c16="http://schemas.microsoft.com/office/drawing/2014/chart" uri="{C3380CC4-5D6E-409C-BE32-E72D297353CC}">
              <c16:uniqueId val="{0000000A-8FD8-49A5-B713-06D934C681CB}"/>
            </c:ext>
          </c:extLst>
        </c:ser>
        <c:dLbls>
          <c:dLblPos val="outEnd"/>
          <c:showLegendKey val="0"/>
          <c:showVal val="0"/>
          <c:showCatName val="1"/>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[Mini_Project_Excel_VachaspatiMishra.xlsx]DeliveryStatus!PivotTable12</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DELIVERY</a:t>
            </a:r>
            <a:r>
              <a:rPr lang="en-US" b="1" baseline="0">
                <a:solidFill>
                  <a:schemeClr val="tx1"/>
                </a:solidFill>
              </a:rPr>
              <a:t> STATUS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w="19050">
            <a:solidFill>
              <a:schemeClr val="lt1"/>
            </a:solidFill>
          </a:ln>
          <a:effectLst/>
        </c:spPr>
        <c:dLbl>
          <c:idx val="0"/>
          <c:layout>
            <c:manualLayout>
              <c:x val="0.10555555555555556"/>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solidFill>
          <a:ln w="19050">
            <a:solidFill>
              <a:schemeClr val="lt1"/>
            </a:solidFill>
          </a:ln>
          <a:effectLst/>
        </c:spPr>
        <c:dLbl>
          <c:idx val="0"/>
          <c:layout>
            <c:manualLayout>
              <c:x val="0.13055555555555556"/>
              <c:y val="6.481481481481481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6"/>
          </a:solidFill>
          <a:ln w="19050">
            <a:solidFill>
              <a:schemeClr val="lt1"/>
            </a:solidFill>
          </a:ln>
          <a:effectLst/>
        </c:spPr>
        <c:dLbl>
          <c:idx val="0"/>
          <c:layout>
            <c:manualLayout>
              <c:x val="-9.4444444444444442E-2"/>
              <c:y val="-0.1157407407407407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solidFill>
          <a:ln w="19050">
            <a:solidFill>
              <a:schemeClr val="lt1"/>
            </a:solidFill>
          </a:ln>
          <a:effectLst/>
        </c:spPr>
        <c:dLbl>
          <c:idx val="0"/>
          <c:layout>
            <c:manualLayout>
              <c:x val="0.10555555555555556"/>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solidFill>
          <a:ln w="19050">
            <a:solidFill>
              <a:schemeClr val="lt1"/>
            </a:solidFill>
          </a:ln>
          <a:effectLst/>
        </c:spPr>
        <c:dLbl>
          <c:idx val="0"/>
          <c:layout>
            <c:manualLayout>
              <c:x val="0.13055555555555556"/>
              <c:y val="6.481481481481481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solidFill>
          <a:ln w="19050">
            <a:solidFill>
              <a:schemeClr val="lt1"/>
            </a:solidFill>
          </a:ln>
          <a:effectLst/>
        </c:spPr>
        <c:dLbl>
          <c:idx val="0"/>
          <c:layout>
            <c:manualLayout>
              <c:x val="-9.4444444444444442E-2"/>
              <c:y val="-0.1157407407407407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6">
              <a:shade val="65000"/>
            </a:schemeClr>
          </a:solidFill>
          <a:ln w="19050">
            <a:solidFill>
              <a:schemeClr val="lt1"/>
            </a:solidFill>
          </a:ln>
          <a:effectLst/>
        </c:spPr>
        <c:dLbl>
          <c:idx val="0"/>
          <c:layout>
            <c:manualLayout>
              <c:x val="0.10555555555555556"/>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6"/>
          </a:solidFill>
          <a:ln w="19050">
            <a:solidFill>
              <a:schemeClr val="lt1"/>
            </a:solidFill>
          </a:ln>
          <a:effectLst/>
        </c:spPr>
        <c:dLbl>
          <c:idx val="0"/>
          <c:layout>
            <c:manualLayout>
              <c:x val="0.13055555555555556"/>
              <c:y val="6.481481481481481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6">
              <a:tint val="65000"/>
            </a:schemeClr>
          </a:solidFill>
          <a:ln w="19050">
            <a:solidFill>
              <a:schemeClr val="lt1"/>
            </a:solidFill>
          </a:ln>
          <a:effectLst/>
        </c:spPr>
        <c:dLbl>
          <c:idx val="0"/>
          <c:layout>
            <c:manualLayout>
              <c:x val="-9.4444444444444442E-2"/>
              <c:y val="-0.1157407407407407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DeliveryStatus!$B$3</c:f>
              <c:strCache>
                <c:ptCount val="1"/>
                <c:pt idx="0">
                  <c:v>Total</c:v>
                </c:pt>
              </c:strCache>
            </c:strRef>
          </c:tx>
          <c:dPt>
            <c:idx val="0"/>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1-99F1-494C-84C1-61F23CD78753}"/>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99F1-494C-84C1-61F23CD78753}"/>
              </c:ext>
            </c:extLst>
          </c:dPt>
          <c:dPt>
            <c:idx val="2"/>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05-99F1-494C-84C1-61F23CD78753}"/>
              </c:ext>
            </c:extLst>
          </c:dPt>
          <c:dLbls>
            <c:dLbl>
              <c:idx val="0"/>
              <c:layout>
                <c:manualLayout>
                  <c:x val="0.10555555555555556"/>
                  <c:y val="-8.796296296296296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9F1-494C-84C1-61F23CD78753}"/>
                </c:ext>
              </c:extLst>
            </c:dLbl>
            <c:dLbl>
              <c:idx val="1"/>
              <c:layout>
                <c:manualLayout>
                  <c:x val="0.13055555555555556"/>
                  <c:y val="6.481481481481481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9F1-494C-84C1-61F23CD78753}"/>
                </c:ext>
              </c:extLst>
            </c:dLbl>
            <c:dLbl>
              <c:idx val="2"/>
              <c:layout>
                <c:manualLayout>
                  <c:x val="-9.4444444444444442E-2"/>
                  <c:y val="-0.1157407407407407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9F1-494C-84C1-61F23CD7875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DeliveryStatus!$A$4:$A$7</c:f>
              <c:strCache>
                <c:ptCount val="3"/>
                <c:pt idx="0">
                  <c:v>Cancelled</c:v>
                </c:pt>
                <c:pt idx="1">
                  <c:v>Delivered</c:v>
                </c:pt>
                <c:pt idx="2">
                  <c:v>In Transit</c:v>
                </c:pt>
              </c:strCache>
            </c:strRef>
          </c:cat>
          <c:val>
            <c:numRef>
              <c:f>DeliveryStatus!$B$4:$B$7</c:f>
              <c:numCache>
                <c:formatCode>General</c:formatCode>
                <c:ptCount val="3"/>
                <c:pt idx="0">
                  <c:v>30</c:v>
                </c:pt>
                <c:pt idx="1">
                  <c:v>34</c:v>
                </c:pt>
                <c:pt idx="2">
                  <c:v>36</c:v>
                </c:pt>
              </c:numCache>
            </c:numRef>
          </c:val>
          <c:extLst>
            <c:ext xmlns:c16="http://schemas.microsoft.com/office/drawing/2014/chart" uri="{C3380CC4-5D6E-409C-BE32-E72D297353CC}">
              <c16:uniqueId val="{00000006-99F1-494C-84C1-61F23CD78753}"/>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[Mini_Project_Excel_VachaspatiMishra.xlsx]MonthlySales!PivotTable13</c:name>
    <c:fmtId val="18"/>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MONTHWISE</a:t>
            </a:r>
            <a:r>
              <a:rPr lang="en-US" b="1" baseline="0">
                <a:solidFill>
                  <a:schemeClr val="tx1"/>
                </a:solidFill>
              </a:rPr>
              <a:t> SALES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pivotFmt>
      <c:pivotFmt>
        <c:idx val="2"/>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none"/>
        </c:marker>
      </c:pivotFmt>
      <c:pivotFmt>
        <c:idx val="4"/>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pivotFmt>
    </c:pivotFmts>
    <c:plotArea>
      <c:layout/>
      <c:lineChart>
        <c:grouping val="standard"/>
        <c:varyColors val="0"/>
        <c:ser>
          <c:idx val="0"/>
          <c:order val="0"/>
          <c:tx>
            <c:strRef>
              <c:f>MonthlySales!$B$3</c:f>
              <c:strCache>
                <c:ptCount val="1"/>
                <c:pt idx="0">
                  <c:v>Total</c:v>
                </c:pt>
              </c:strCache>
            </c:strRef>
          </c:tx>
          <c:spPr>
            <a:ln w="28575" cap="rnd">
              <a:solidFill>
                <a:schemeClr val="accent6"/>
              </a:solidFill>
              <a:round/>
            </a:ln>
            <a:effectLst/>
          </c:spPr>
          <c:marker>
            <c:symbol val="none"/>
          </c:marker>
          <c:dPt>
            <c:idx val="5"/>
            <c:marker>
              <c:symbol val="none"/>
            </c:marker>
            <c:bubble3D val="0"/>
            <c:spPr>
              <a:ln w="28575" cap="rnd">
                <a:solidFill>
                  <a:schemeClr val="accent6"/>
                </a:solidFill>
                <a:round/>
              </a:ln>
              <a:effectLst/>
            </c:spPr>
            <c:extLst>
              <c:ext xmlns:c16="http://schemas.microsoft.com/office/drawing/2014/chart" uri="{C3380CC4-5D6E-409C-BE32-E72D297353CC}">
                <c16:uniqueId val="{00000001-4FC6-4BB2-B83F-CACD68D7156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MonthlySales!$B$4:$B$16</c:f>
              <c:numCache>
                <c:formatCode>General</c:formatCode>
                <c:ptCount val="12"/>
                <c:pt idx="0">
                  <c:v>1099</c:v>
                </c:pt>
                <c:pt idx="1">
                  <c:v>3712</c:v>
                </c:pt>
                <c:pt idx="2">
                  <c:v>905</c:v>
                </c:pt>
                <c:pt idx="3">
                  <c:v>2637</c:v>
                </c:pt>
                <c:pt idx="4">
                  <c:v>4940</c:v>
                </c:pt>
                <c:pt idx="5">
                  <c:v>2599</c:v>
                </c:pt>
                <c:pt idx="6">
                  <c:v>3315</c:v>
                </c:pt>
                <c:pt idx="7">
                  <c:v>782</c:v>
                </c:pt>
                <c:pt idx="8">
                  <c:v>1570</c:v>
                </c:pt>
                <c:pt idx="9">
                  <c:v>2920</c:v>
                </c:pt>
                <c:pt idx="10">
                  <c:v>6312</c:v>
                </c:pt>
                <c:pt idx="11">
                  <c:v>4467</c:v>
                </c:pt>
              </c:numCache>
            </c:numRef>
          </c:val>
          <c:smooth val="0"/>
          <c:extLst>
            <c:ext xmlns:c16="http://schemas.microsoft.com/office/drawing/2014/chart" uri="{C3380CC4-5D6E-409C-BE32-E72D297353CC}">
              <c16:uniqueId val="{00000002-4FC6-4BB2-B83F-CACD68D7156C}"/>
            </c:ext>
          </c:extLst>
        </c:ser>
        <c:dLbls>
          <c:dLblPos val="l"/>
          <c:showLegendKey val="0"/>
          <c:showVal val="1"/>
          <c:showCatName val="0"/>
          <c:showSerName val="0"/>
          <c:showPercent val="0"/>
          <c:showBubbleSize val="0"/>
        </c:dLbls>
        <c:smooth val="0"/>
        <c:axId val="2021133295"/>
        <c:axId val="2021129455"/>
      </c:lineChart>
      <c:catAx>
        <c:axId val="2021133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2021129455"/>
        <c:crosses val="autoZero"/>
        <c:auto val="1"/>
        <c:lblAlgn val="ctr"/>
        <c:lblOffset val="100"/>
        <c:noMultiLvlLbl val="0"/>
      </c:catAx>
      <c:valAx>
        <c:axId val="20211294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21133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[Mini_Project_Excel_VachaspatiMishra.xlsx]RegionwiseSales1!PivotTable10</c:name>
    <c:fmtId val="78"/>
  </c:pivotSource>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a:solidFill>
                  <a:schemeClr val="tx1"/>
                </a:solidFill>
              </a:rPr>
              <a:t>REGIONWISE</a:t>
            </a:r>
            <a:r>
              <a:rPr lang="en-US" sz="1400" baseline="0">
                <a:solidFill>
                  <a:schemeClr val="tx1"/>
                </a:solidFill>
              </a:rPr>
              <a:t> SALES</a:t>
            </a:r>
            <a:endParaRPr lang="en-US" sz="1400">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solidFill>
            <a:schemeClr val="accent6"/>
          </a:soli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gradFill flip="none" rotWithShape="1">
            <a:gsLst>
              <a:gs pos="0">
                <a:schemeClr val="accent6">
                  <a:shade val="30000"/>
                  <a:satMod val="115000"/>
                </a:schemeClr>
              </a:gs>
              <a:gs pos="50000">
                <a:schemeClr val="accent6">
                  <a:shade val="67500"/>
                  <a:satMod val="115000"/>
                </a:schemeClr>
              </a:gs>
              <a:gs pos="100000">
                <a:schemeClr val="accent6">
                  <a:shade val="100000"/>
                  <a:satMod val="115000"/>
                </a:schemeClr>
              </a:gs>
            </a:gsLst>
            <a:lin ang="16200000" scaled="1"/>
            <a:tileRect/>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6">
                  <a:shade val="30000"/>
                  <a:satMod val="115000"/>
                </a:schemeClr>
              </a:gs>
              <a:gs pos="50000">
                <a:schemeClr val="accent6">
                  <a:shade val="67500"/>
                  <a:satMod val="115000"/>
                </a:schemeClr>
              </a:gs>
              <a:gs pos="100000">
                <a:schemeClr val="accent6">
                  <a:shade val="100000"/>
                  <a:satMod val="115000"/>
                </a:schemeClr>
              </a:gs>
            </a:gsLst>
            <a:lin ang="16200000" scaled="1"/>
            <a:tileRect/>
          </a:gradFill>
          <a:ln>
            <a:noFill/>
          </a:ln>
          <a:effectLst>
            <a:outerShdw blurRad="57150" dist="19050" dir="5400000" algn="ctr" rotWithShape="0">
              <a:srgbClr val="000000">
                <a:alpha val="63000"/>
              </a:srgbClr>
            </a:outerShdw>
          </a:effectLst>
          <a:sp3d/>
        </c:spPr>
        <c:dLbl>
          <c:idx val="0"/>
          <c:layout>
            <c:manualLayout>
              <c:x val="8.3443039394093775E-3"/>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13500000" scaled="1"/>
            <a:tileRect/>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lin ang="13500000" scaled="1"/>
            <a:tileRect/>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RegionwiseSales1!$B$3</c:f>
              <c:strCache>
                <c:ptCount val="1"/>
                <c:pt idx="0">
                  <c:v>Sum of High</c:v>
                </c:pt>
              </c:strCache>
            </c:strRef>
          </c:tx>
          <c:spPr>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13500000" scaled="1"/>
              <a:tileRect/>
            </a:gradFill>
            <a:ln>
              <a:noFill/>
            </a:ln>
            <a:effectLst>
              <a:outerShdw blurRad="57150" dist="19050" dir="5400000" algn="ctr" rotWithShape="0">
                <a:srgbClr val="000000">
                  <a:alpha val="63000"/>
                </a:srgbClr>
              </a:outerShdw>
            </a:effectLst>
            <a:sp3d/>
          </c:spPr>
          <c:invertIfNegative val="0"/>
          <c:dPt>
            <c:idx val="0"/>
            <c:invertIfNegative val="0"/>
            <c:bubble3D val="0"/>
            <c:extLst>
              <c:ext xmlns:c16="http://schemas.microsoft.com/office/drawing/2014/chart" uri="{C3380CC4-5D6E-409C-BE32-E72D297353CC}">
                <c16:uniqueId val="{00000003-8713-4727-9D01-88D066A8446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RegionwiseSales1!$A$4:$A$9</c:f>
              <c:strCache>
                <c:ptCount val="5"/>
                <c:pt idx="0">
                  <c:v>Central</c:v>
                </c:pt>
                <c:pt idx="1">
                  <c:v>East</c:v>
                </c:pt>
                <c:pt idx="2">
                  <c:v>North</c:v>
                </c:pt>
                <c:pt idx="3">
                  <c:v>South</c:v>
                </c:pt>
                <c:pt idx="4">
                  <c:v>West</c:v>
                </c:pt>
              </c:strCache>
            </c:strRef>
          </c:cat>
          <c:val>
            <c:numRef>
              <c:f>RegionwiseSales1!$B$4:$B$9</c:f>
              <c:numCache>
                <c:formatCode>General</c:formatCode>
                <c:ptCount val="5"/>
                <c:pt idx="0">
                  <c:v>#N/A</c:v>
                </c:pt>
                <c:pt idx="1">
                  <c:v>#N/A</c:v>
                </c:pt>
                <c:pt idx="2">
                  <c:v>10491</c:v>
                </c:pt>
                <c:pt idx="3">
                  <c:v>7317</c:v>
                </c:pt>
                <c:pt idx="4">
                  <c:v>8359</c:v>
                </c:pt>
              </c:numCache>
            </c:numRef>
          </c:val>
          <c:extLst>
            <c:ext xmlns:c16="http://schemas.microsoft.com/office/drawing/2014/chart" uri="{C3380CC4-5D6E-409C-BE32-E72D297353CC}">
              <c16:uniqueId val="{00000000-8713-4727-9D01-88D066A84468}"/>
            </c:ext>
          </c:extLst>
        </c:ser>
        <c:ser>
          <c:idx val="1"/>
          <c:order val="1"/>
          <c:tx>
            <c:strRef>
              <c:f>RegionwiseSales1!$C$3</c:f>
              <c:strCache>
                <c:ptCount val="1"/>
                <c:pt idx="0">
                  <c:v>Sum of Low</c:v>
                </c:pt>
              </c:strCache>
            </c:strRef>
          </c:tx>
          <c:spPr>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lin ang="13500000" scaled="1"/>
              <a:tileRect/>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RegionwiseSales1!$A$4:$A$9</c:f>
              <c:strCache>
                <c:ptCount val="5"/>
                <c:pt idx="0">
                  <c:v>Central</c:v>
                </c:pt>
                <c:pt idx="1">
                  <c:v>East</c:v>
                </c:pt>
                <c:pt idx="2">
                  <c:v>North</c:v>
                </c:pt>
                <c:pt idx="3">
                  <c:v>South</c:v>
                </c:pt>
                <c:pt idx="4">
                  <c:v>West</c:v>
                </c:pt>
              </c:strCache>
            </c:strRef>
          </c:cat>
          <c:val>
            <c:numRef>
              <c:f>RegionwiseSales1!$C$4:$C$9</c:f>
              <c:numCache>
                <c:formatCode>General</c:formatCode>
                <c:ptCount val="5"/>
                <c:pt idx="0">
                  <c:v>5456</c:v>
                </c:pt>
                <c:pt idx="1">
                  <c:v>3635</c:v>
                </c:pt>
                <c:pt idx="2">
                  <c:v>#N/A</c:v>
                </c:pt>
                <c:pt idx="3">
                  <c:v>#N/A</c:v>
                </c:pt>
                <c:pt idx="4">
                  <c:v>#N/A</c:v>
                </c:pt>
              </c:numCache>
            </c:numRef>
          </c:val>
          <c:extLst>
            <c:ext xmlns:c16="http://schemas.microsoft.com/office/drawing/2014/chart" uri="{C3380CC4-5D6E-409C-BE32-E72D297353CC}">
              <c16:uniqueId val="{00000002-7F90-43D9-B57A-D63EC89EEC05}"/>
            </c:ext>
          </c:extLst>
        </c:ser>
        <c:dLbls>
          <c:showLegendKey val="0"/>
          <c:showVal val="1"/>
          <c:showCatName val="0"/>
          <c:showSerName val="0"/>
          <c:showPercent val="0"/>
          <c:showBubbleSize val="0"/>
        </c:dLbls>
        <c:gapWidth val="150"/>
        <c:shape val="box"/>
        <c:axId val="1226967023"/>
        <c:axId val="1226965103"/>
        <c:axId val="0"/>
      </c:bar3DChart>
      <c:catAx>
        <c:axId val="12269670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26965103"/>
        <c:crosses val="autoZero"/>
        <c:auto val="1"/>
        <c:lblAlgn val="ctr"/>
        <c:lblOffset val="100"/>
        <c:noMultiLvlLbl val="0"/>
      </c:catAx>
      <c:valAx>
        <c:axId val="122696510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26967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[Mini_Project_Excel_VachaspatiMishra.xlsx]RegionwiseSales1!PivotTable10</c:name>
    <c:fmtId val="30"/>
  </c:pivotSource>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a:solidFill>
                  <a:schemeClr val="tx1"/>
                </a:solidFill>
              </a:rPr>
              <a:t>Regionwise Sales</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RegionwiseSales1!$B$3</c:f>
              <c:strCache>
                <c:ptCount val="1"/>
                <c:pt idx="0">
                  <c:v>Sum of High</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RegionwiseSales1!$A$4:$A$9</c:f>
              <c:strCache>
                <c:ptCount val="5"/>
                <c:pt idx="0">
                  <c:v>Central</c:v>
                </c:pt>
                <c:pt idx="1">
                  <c:v>East</c:v>
                </c:pt>
                <c:pt idx="2">
                  <c:v>North</c:v>
                </c:pt>
                <c:pt idx="3">
                  <c:v>South</c:v>
                </c:pt>
                <c:pt idx="4">
                  <c:v>West</c:v>
                </c:pt>
              </c:strCache>
            </c:strRef>
          </c:cat>
          <c:val>
            <c:numRef>
              <c:f>RegionwiseSales1!$B$4:$B$9</c:f>
              <c:numCache>
                <c:formatCode>General</c:formatCode>
                <c:ptCount val="5"/>
                <c:pt idx="0">
                  <c:v>#N/A</c:v>
                </c:pt>
                <c:pt idx="1">
                  <c:v>#N/A</c:v>
                </c:pt>
                <c:pt idx="2">
                  <c:v>10491</c:v>
                </c:pt>
                <c:pt idx="3">
                  <c:v>7317</c:v>
                </c:pt>
                <c:pt idx="4">
                  <c:v>8359</c:v>
                </c:pt>
              </c:numCache>
            </c:numRef>
          </c:val>
          <c:extLst>
            <c:ext xmlns:c16="http://schemas.microsoft.com/office/drawing/2014/chart" uri="{C3380CC4-5D6E-409C-BE32-E72D297353CC}">
              <c16:uniqueId val="{00000000-9B49-4A25-8505-AD4731A4AA43}"/>
            </c:ext>
          </c:extLst>
        </c:ser>
        <c:ser>
          <c:idx val="1"/>
          <c:order val="1"/>
          <c:tx>
            <c:strRef>
              <c:f>RegionwiseSales1!$C$3</c:f>
              <c:strCache>
                <c:ptCount val="1"/>
                <c:pt idx="0">
                  <c:v>Sum of Low</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RegionwiseSales1!$A$4:$A$9</c:f>
              <c:strCache>
                <c:ptCount val="5"/>
                <c:pt idx="0">
                  <c:v>Central</c:v>
                </c:pt>
                <c:pt idx="1">
                  <c:v>East</c:v>
                </c:pt>
                <c:pt idx="2">
                  <c:v>North</c:v>
                </c:pt>
                <c:pt idx="3">
                  <c:v>South</c:v>
                </c:pt>
                <c:pt idx="4">
                  <c:v>West</c:v>
                </c:pt>
              </c:strCache>
            </c:strRef>
          </c:cat>
          <c:val>
            <c:numRef>
              <c:f>RegionwiseSales1!$C$4:$C$9</c:f>
              <c:numCache>
                <c:formatCode>General</c:formatCode>
                <c:ptCount val="5"/>
                <c:pt idx="0">
                  <c:v>5456</c:v>
                </c:pt>
                <c:pt idx="1">
                  <c:v>3635</c:v>
                </c:pt>
                <c:pt idx="2">
                  <c:v>#N/A</c:v>
                </c:pt>
                <c:pt idx="3">
                  <c:v>#N/A</c:v>
                </c:pt>
                <c:pt idx="4">
                  <c:v>#N/A</c:v>
                </c:pt>
              </c:numCache>
            </c:numRef>
          </c:val>
          <c:extLst>
            <c:ext xmlns:c16="http://schemas.microsoft.com/office/drawing/2014/chart" uri="{C3380CC4-5D6E-409C-BE32-E72D297353CC}">
              <c16:uniqueId val="{00000000-B3D0-4F3E-B505-1D26276969B1}"/>
            </c:ext>
          </c:extLst>
        </c:ser>
        <c:dLbls>
          <c:showLegendKey val="0"/>
          <c:showVal val="1"/>
          <c:showCatName val="0"/>
          <c:showSerName val="0"/>
          <c:showPercent val="0"/>
          <c:showBubbleSize val="0"/>
        </c:dLbls>
        <c:gapWidth val="150"/>
        <c:shape val="box"/>
        <c:axId val="1226967023"/>
        <c:axId val="1226965103"/>
        <c:axId val="0"/>
      </c:bar3DChart>
      <c:catAx>
        <c:axId val="12269670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26965103"/>
        <c:crosses val="autoZero"/>
        <c:auto val="1"/>
        <c:lblAlgn val="ctr"/>
        <c:lblOffset val="100"/>
        <c:noMultiLvlLbl val="0"/>
      </c:catAx>
      <c:valAx>
        <c:axId val="122696510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2696702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solidFill>
                  <a:schemeClr val="tx1"/>
                </a:solidFill>
                <a:latin typeface="+mn-lt"/>
              </a:rPr>
              <a:t>Regionwise</a:t>
            </a:r>
            <a:r>
              <a:rPr lang="en-US" sz="1400" b="1" baseline="0">
                <a:solidFill>
                  <a:schemeClr val="tx1"/>
                </a:solidFill>
                <a:latin typeface="+mn-lt"/>
              </a:rPr>
              <a:t> Sales</a:t>
            </a:r>
            <a:endParaRPr lang="en-US" sz="1400" b="1">
              <a:solidFill>
                <a:schemeClr val="tx1"/>
              </a:solidFill>
              <a:latin typeface="+mn-lt"/>
            </a:endParaRP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1"/>
          <c:order val="0"/>
          <c:tx>
            <c:strRef>
              <c:f>RegionwiseSales2!$C$2</c:f>
              <c:strCache>
                <c:ptCount val="1"/>
                <c:pt idx="0">
                  <c:v>High</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RegionwiseSales2!$A$3:$A$7</c:f>
              <c:strCache>
                <c:ptCount val="5"/>
                <c:pt idx="0">
                  <c:v>Central</c:v>
                </c:pt>
                <c:pt idx="1">
                  <c:v>East</c:v>
                </c:pt>
                <c:pt idx="2">
                  <c:v>North</c:v>
                </c:pt>
                <c:pt idx="3">
                  <c:v>South</c:v>
                </c:pt>
                <c:pt idx="4">
                  <c:v>West</c:v>
                </c:pt>
              </c:strCache>
            </c:strRef>
          </c:cat>
          <c:val>
            <c:numRef>
              <c:f>RegionwiseSales2!$C$3:$C$7</c:f>
              <c:numCache>
                <c:formatCode>General</c:formatCode>
                <c:ptCount val="5"/>
                <c:pt idx="0">
                  <c:v>#N/A</c:v>
                </c:pt>
                <c:pt idx="1">
                  <c:v>#N/A</c:v>
                </c:pt>
                <c:pt idx="2">
                  <c:v>10491</c:v>
                </c:pt>
                <c:pt idx="3">
                  <c:v>7317</c:v>
                </c:pt>
                <c:pt idx="4">
                  <c:v>8359</c:v>
                </c:pt>
              </c:numCache>
            </c:numRef>
          </c:val>
          <c:extLst>
            <c:ext xmlns:c16="http://schemas.microsoft.com/office/drawing/2014/chart" uri="{C3380CC4-5D6E-409C-BE32-E72D297353CC}">
              <c16:uniqueId val="{00000001-2613-4634-A741-A3405AE92AAE}"/>
            </c:ext>
          </c:extLst>
        </c:ser>
        <c:ser>
          <c:idx val="2"/>
          <c:order val="1"/>
          <c:tx>
            <c:strRef>
              <c:f>RegionwiseSales2!$D$2</c:f>
              <c:strCache>
                <c:ptCount val="1"/>
                <c:pt idx="0">
                  <c:v>Low</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RegionwiseSales2!$A$3:$A$7</c:f>
              <c:strCache>
                <c:ptCount val="5"/>
                <c:pt idx="0">
                  <c:v>Central</c:v>
                </c:pt>
                <c:pt idx="1">
                  <c:v>East</c:v>
                </c:pt>
                <c:pt idx="2">
                  <c:v>North</c:v>
                </c:pt>
                <c:pt idx="3">
                  <c:v>South</c:v>
                </c:pt>
                <c:pt idx="4">
                  <c:v>West</c:v>
                </c:pt>
              </c:strCache>
            </c:strRef>
          </c:cat>
          <c:val>
            <c:numRef>
              <c:f>RegionwiseSales2!$D$3:$D$7</c:f>
              <c:numCache>
                <c:formatCode>General</c:formatCode>
                <c:ptCount val="5"/>
                <c:pt idx="0">
                  <c:v>5456</c:v>
                </c:pt>
                <c:pt idx="1">
                  <c:v>3635</c:v>
                </c:pt>
                <c:pt idx="2">
                  <c:v>#N/A</c:v>
                </c:pt>
                <c:pt idx="3">
                  <c:v>#N/A</c:v>
                </c:pt>
                <c:pt idx="4">
                  <c:v>#N/A</c:v>
                </c:pt>
              </c:numCache>
            </c:numRef>
          </c:val>
          <c:extLst>
            <c:ext xmlns:c16="http://schemas.microsoft.com/office/drawing/2014/chart" uri="{C3380CC4-5D6E-409C-BE32-E72D297353CC}">
              <c16:uniqueId val="{00000002-2613-4634-A741-A3405AE92AAE}"/>
            </c:ext>
          </c:extLst>
        </c:ser>
        <c:dLbls>
          <c:showLegendKey val="0"/>
          <c:showVal val="1"/>
          <c:showCatName val="0"/>
          <c:showSerName val="0"/>
          <c:showPercent val="0"/>
          <c:showBubbleSize val="0"/>
        </c:dLbls>
        <c:gapWidth val="150"/>
        <c:shape val="box"/>
        <c:axId val="1227043135"/>
        <c:axId val="1227048895"/>
        <c:axId val="0"/>
      </c:bar3DChart>
      <c:catAx>
        <c:axId val="122704313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27048895"/>
        <c:crosses val="autoZero"/>
        <c:auto val="1"/>
        <c:lblAlgn val="ctr"/>
        <c:lblOffset val="100"/>
        <c:noMultiLvlLbl val="0"/>
      </c:catAx>
      <c:valAx>
        <c:axId val="12270488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27043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[Mini_Project_Excel_VachaspatiMishra.xlsx]PaymentMethod!PivotTable11</c:name>
    <c:fmtId val="8"/>
  </c:pivotSource>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a:solidFill>
                  <a:schemeClr val="tx1"/>
                </a:solidFill>
              </a:rPr>
              <a:t>Payment Method</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PaymentMethod!$B$3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1066-4B93-BC40-AD389813365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1066-4B93-BC40-AD389813365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1066-4B93-BC40-AD389813365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1066-4B93-BC40-AD3898133658}"/>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1066-4B93-BC40-AD389813365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PaymentMethod!$A$4:$A$9</c:f>
              <c:strCache>
                <c:ptCount val="5"/>
                <c:pt idx="0">
                  <c:v>Amazon Pay</c:v>
                </c:pt>
                <c:pt idx="1">
                  <c:v>Apple Pay</c:v>
                </c:pt>
                <c:pt idx="2">
                  <c:v>Credit Card</c:v>
                </c:pt>
                <c:pt idx="3">
                  <c:v>Debit Card</c:v>
                </c:pt>
                <c:pt idx="4">
                  <c:v>PayPal</c:v>
                </c:pt>
              </c:strCache>
            </c:strRef>
          </c:cat>
          <c:val>
            <c:numRef>
              <c:f>PaymentMethod!$B$4:$B$9</c:f>
              <c:numCache>
                <c:formatCode>General</c:formatCode>
                <c:ptCount val="5"/>
                <c:pt idx="0">
                  <c:v>4719</c:v>
                </c:pt>
                <c:pt idx="1">
                  <c:v>6144</c:v>
                </c:pt>
                <c:pt idx="2">
                  <c:v>9398</c:v>
                </c:pt>
                <c:pt idx="3">
                  <c:v>8348</c:v>
                </c:pt>
                <c:pt idx="4">
                  <c:v>6649</c:v>
                </c:pt>
              </c:numCache>
            </c:numRef>
          </c:val>
          <c:extLst>
            <c:ext xmlns:c16="http://schemas.microsoft.com/office/drawing/2014/chart" uri="{C3380CC4-5D6E-409C-BE32-E72D297353CC}">
              <c16:uniqueId val="{00000000-8A52-48EB-ABC5-7FB6F61528DE}"/>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[Mini_Project_Excel_VachaspatiMishra.xlsx]DeliveryStatus!PivotTable12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Delivery</a:t>
            </a:r>
            <a:r>
              <a:rPr lang="en-US" b="1" baseline="0">
                <a:solidFill>
                  <a:schemeClr val="tx1"/>
                </a:solidFill>
              </a:rPr>
              <a:t> Status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0555555555555556"/>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3055555555555556"/>
              <c:y val="6.481481481481481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9.4444444444444442E-2"/>
              <c:y val="-0.1157407407407407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DeliveryStatus!$B$3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2E20-46D5-B2F6-47636F30411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E20-46D5-B2F6-47636F30411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2E20-46D5-B2F6-47636F304111}"/>
              </c:ext>
            </c:extLst>
          </c:dPt>
          <c:dLbls>
            <c:dLbl>
              <c:idx val="0"/>
              <c:layout>
                <c:manualLayout>
                  <c:x val="0.10555555555555556"/>
                  <c:y val="-8.796296296296296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2E20-46D5-B2F6-47636F304111}"/>
                </c:ext>
              </c:extLst>
            </c:dLbl>
            <c:dLbl>
              <c:idx val="1"/>
              <c:layout>
                <c:manualLayout>
                  <c:x val="0.13055555555555556"/>
                  <c:y val="6.481481481481481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E20-46D5-B2F6-47636F304111}"/>
                </c:ext>
              </c:extLst>
            </c:dLbl>
            <c:dLbl>
              <c:idx val="2"/>
              <c:layout>
                <c:manualLayout>
                  <c:x val="-9.4444444444444442E-2"/>
                  <c:y val="-0.1157407407407407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2E20-46D5-B2F6-47636F30411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DeliveryStatus!$A$4:$A$7</c:f>
              <c:strCache>
                <c:ptCount val="3"/>
                <c:pt idx="0">
                  <c:v>Cancelled</c:v>
                </c:pt>
                <c:pt idx="1">
                  <c:v>Delivered</c:v>
                </c:pt>
                <c:pt idx="2">
                  <c:v>In Transit</c:v>
                </c:pt>
              </c:strCache>
            </c:strRef>
          </c:cat>
          <c:val>
            <c:numRef>
              <c:f>DeliveryStatus!$B$4:$B$7</c:f>
              <c:numCache>
                <c:formatCode>General</c:formatCode>
                <c:ptCount val="3"/>
                <c:pt idx="0">
                  <c:v>30</c:v>
                </c:pt>
                <c:pt idx="1">
                  <c:v>34</c:v>
                </c:pt>
                <c:pt idx="2">
                  <c:v>36</c:v>
                </c:pt>
              </c:numCache>
            </c:numRef>
          </c:val>
          <c:extLst>
            <c:ext xmlns:c16="http://schemas.microsoft.com/office/drawing/2014/chart" uri="{C3380CC4-5D6E-409C-BE32-E72D297353CC}">
              <c16:uniqueId val="{00000000-2E20-46D5-B2F6-47636F304111}"/>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[Mini_Project_Excel_VachaspatiMishra.xlsx]MonthlySales!PivotTable13</c:name>
    <c:fmtId val="1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none"/>
        </c:marker>
      </c:pivotFmt>
      <c:pivotFmt>
        <c:idx val="2"/>
        <c:spPr>
          <a:ln w="28575" cap="rnd">
            <a:solidFill>
              <a:schemeClr val="accent6"/>
            </a:solidFill>
            <a:round/>
          </a:ln>
          <a:effectLst/>
        </c:spPr>
        <c:marker>
          <c:symbol val="none"/>
        </c:marker>
      </c:pivotFmt>
      <c:pivotFmt>
        <c:idx val="3"/>
        <c:spPr>
          <a:ln w="28575" cap="rnd">
            <a:solidFill>
              <a:schemeClr val="accent6"/>
            </a:solidFill>
            <a:round/>
          </a:ln>
          <a:effectLst/>
        </c:spPr>
        <c:marker>
          <c:symbol val="none"/>
        </c:marker>
      </c:pivotFmt>
    </c:pivotFmts>
    <c:plotArea>
      <c:layout/>
      <c:lineChart>
        <c:grouping val="standard"/>
        <c:varyColors val="0"/>
        <c:ser>
          <c:idx val="0"/>
          <c:order val="0"/>
          <c:tx>
            <c:strRef>
              <c:f>MonthlySales!$B$3</c:f>
              <c:strCache>
                <c:ptCount val="1"/>
                <c:pt idx="0">
                  <c:v>Total</c:v>
                </c:pt>
              </c:strCache>
            </c:strRef>
          </c:tx>
          <c:spPr>
            <a:ln w="28575" cap="rnd">
              <a:solidFill>
                <a:schemeClr val="accent6"/>
              </a:solidFill>
              <a:round/>
            </a:ln>
            <a:effectLst/>
          </c:spPr>
          <c:marker>
            <c:symbol val="none"/>
          </c:marker>
          <c:dPt>
            <c:idx val="5"/>
            <c:marker>
              <c:symbol val="none"/>
            </c:marker>
            <c:bubble3D val="0"/>
            <c:extLst>
              <c:ext xmlns:c16="http://schemas.microsoft.com/office/drawing/2014/chart" uri="{C3380CC4-5D6E-409C-BE32-E72D297353CC}">
                <c16:uniqueId val="{00000002-03E8-4FFC-9572-EA2D9ED050A1}"/>
              </c:ext>
            </c:extLst>
          </c:dPt>
          <c:dPt>
            <c:idx val="8"/>
            <c:marker>
              <c:symbol val="none"/>
            </c:marker>
            <c:bubble3D val="0"/>
            <c:extLst>
              <c:ext xmlns:c16="http://schemas.microsoft.com/office/drawing/2014/chart" uri="{C3380CC4-5D6E-409C-BE32-E72D297353CC}">
                <c16:uniqueId val="{00000002-04D5-47EA-A6E3-2184859AAC44}"/>
              </c:ext>
            </c:extLst>
          </c:dPt>
          <c:dPt>
            <c:idx val="9"/>
            <c:marker>
              <c:symbol val="none"/>
            </c:marker>
            <c:bubble3D val="0"/>
          </c:dPt>
          <c:cat>
            <c:strRef>
              <c:f>MonthlySales!$A$4:$A$16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MonthlySales!$B$4:$B$16</c:f>
              <c:numCache>
                <c:formatCode>General</c:formatCode>
                <c:ptCount val="12"/>
                <c:pt idx="0">
                  <c:v>1099</c:v>
                </c:pt>
                <c:pt idx="1">
                  <c:v>3712</c:v>
                </c:pt>
                <c:pt idx="2">
                  <c:v>905</c:v>
                </c:pt>
                <c:pt idx="3">
                  <c:v>2637</c:v>
                </c:pt>
                <c:pt idx="4">
                  <c:v>4940</c:v>
                </c:pt>
                <c:pt idx="5">
                  <c:v>2599</c:v>
                </c:pt>
                <c:pt idx="6">
                  <c:v>3315</c:v>
                </c:pt>
                <c:pt idx="7">
                  <c:v>782</c:v>
                </c:pt>
                <c:pt idx="8">
                  <c:v>1570</c:v>
                </c:pt>
                <c:pt idx="9">
                  <c:v>2920</c:v>
                </c:pt>
                <c:pt idx="10">
                  <c:v>6312</c:v>
                </c:pt>
                <c:pt idx="11">
                  <c:v>4467</c:v>
                </c:pt>
              </c:numCache>
            </c:numRef>
          </c:val>
          <c:smooth val="0"/>
          <c:extLst>
            <c:ext xmlns:c16="http://schemas.microsoft.com/office/drawing/2014/chart" uri="{C3380CC4-5D6E-409C-BE32-E72D297353CC}">
              <c16:uniqueId val="{00000000-03E8-4FFC-9572-EA2D9ED050A1}"/>
            </c:ext>
          </c:extLst>
        </c:ser>
        <c:dLbls>
          <c:showLegendKey val="0"/>
          <c:showVal val="0"/>
          <c:showCatName val="0"/>
          <c:showSerName val="0"/>
          <c:showPercent val="0"/>
          <c:showBubbleSize val="0"/>
        </c:dLbls>
        <c:smooth val="0"/>
        <c:axId val="2021133295"/>
        <c:axId val="2021129455"/>
      </c:lineChart>
      <c:catAx>
        <c:axId val="2021133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2021129455"/>
        <c:crosses val="autoZero"/>
        <c:auto val="1"/>
        <c:lblAlgn val="ctr"/>
        <c:lblOffset val="100"/>
        <c:noMultiLvlLbl val="0"/>
      </c:catAx>
      <c:valAx>
        <c:axId val="20211294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21133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252854</xdr:colOff>
      <xdr:row>0</xdr:row>
      <xdr:rowOff>81727</xdr:rowOff>
    </xdr:from>
    <xdr:to>
      <xdr:col>18</xdr:col>
      <xdr:colOff>268309</xdr:colOff>
      <xdr:row>2</xdr:row>
      <xdr:rowOff>161737</xdr:rowOff>
    </xdr:to>
    <xdr:sp macro="" textlink="">
      <xdr:nvSpPr>
        <xdr:cNvPr id="2" name="TextBox 1">
          <a:extLst>
            <a:ext uri="{FF2B5EF4-FFF2-40B4-BE49-F238E27FC236}">
              <a16:creationId xmlns:a16="http://schemas.microsoft.com/office/drawing/2014/main" id="{98EAF641-7B50-66D3-8EDC-9F042C6C118F}"/>
            </a:ext>
          </a:extLst>
        </xdr:cNvPr>
        <xdr:cNvSpPr txBox="1"/>
      </xdr:nvSpPr>
      <xdr:spPr>
        <a:xfrm>
          <a:off x="3311586" y="81727"/>
          <a:ext cx="7968160" cy="444911"/>
        </a:xfrm>
        <a:prstGeom prst="rect">
          <a:avLst/>
        </a:prstGeom>
        <a:solidFill>
          <a:schemeClr val="accent6">
            <a:lumMod val="50000"/>
          </a:schemeClr>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200">
              <a:solidFill>
                <a:schemeClr val="bg1"/>
              </a:solidFill>
              <a:latin typeface="Times New Roman" panose="02020603050405020304" pitchFamily="18" charset="0"/>
              <a:cs typeface="Times New Roman" panose="02020603050405020304" pitchFamily="18" charset="0"/>
            </a:rPr>
            <a:t>WORKFORCE &amp; SALES INTELLIGENCE DASHBOARD</a:t>
          </a:r>
        </a:p>
      </xdr:txBody>
    </xdr:sp>
    <xdr:clientData/>
  </xdr:twoCellAnchor>
  <xdr:twoCellAnchor>
    <xdr:from>
      <xdr:col>10</xdr:col>
      <xdr:colOff>358676</xdr:colOff>
      <xdr:row>3</xdr:row>
      <xdr:rowOff>91117</xdr:rowOff>
    </xdr:from>
    <xdr:to>
      <xdr:col>18</xdr:col>
      <xdr:colOff>51730</xdr:colOff>
      <xdr:row>18</xdr:row>
      <xdr:rowOff>91117</xdr:rowOff>
    </xdr:to>
    <xdr:graphicFrame macro="">
      <xdr:nvGraphicFramePr>
        <xdr:cNvPr id="14" name="Chart 13">
          <a:extLst>
            <a:ext uri="{FF2B5EF4-FFF2-40B4-BE49-F238E27FC236}">
              <a16:creationId xmlns:a16="http://schemas.microsoft.com/office/drawing/2014/main" id="{625BC927-CE85-4F90-832B-2D9C5A82C9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596936</xdr:colOff>
      <xdr:row>18</xdr:row>
      <xdr:rowOff>164526</xdr:rowOff>
    </xdr:from>
    <xdr:to>
      <xdr:col>10</xdr:col>
      <xdr:colOff>289990</xdr:colOff>
      <xdr:row>33</xdr:row>
      <xdr:rowOff>164527</xdr:rowOff>
    </xdr:to>
    <xdr:graphicFrame macro="">
      <xdr:nvGraphicFramePr>
        <xdr:cNvPr id="15" name="Chart 14">
          <a:extLst>
            <a:ext uri="{FF2B5EF4-FFF2-40B4-BE49-F238E27FC236}">
              <a16:creationId xmlns:a16="http://schemas.microsoft.com/office/drawing/2014/main" id="{64DF74C8-6D6F-4477-B83E-A60655C080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354168</xdr:colOff>
      <xdr:row>18</xdr:row>
      <xdr:rowOff>160985</xdr:rowOff>
    </xdr:from>
    <xdr:to>
      <xdr:col>18</xdr:col>
      <xdr:colOff>47222</xdr:colOff>
      <xdr:row>33</xdr:row>
      <xdr:rowOff>160986</xdr:rowOff>
    </xdr:to>
    <xdr:graphicFrame macro="">
      <xdr:nvGraphicFramePr>
        <xdr:cNvPr id="16" name="Chart 15">
          <a:extLst>
            <a:ext uri="{FF2B5EF4-FFF2-40B4-BE49-F238E27FC236}">
              <a16:creationId xmlns:a16="http://schemas.microsoft.com/office/drawing/2014/main" id="{A3BFCDFF-0AFC-405C-B697-F40CA577CB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600585</xdr:colOff>
      <xdr:row>3</xdr:row>
      <xdr:rowOff>83820</xdr:rowOff>
    </xdr:from>
    <xdr:to>
      <xdr:col>10</xdr:col>
      <xdr:colOff>289774</xdr:colOff>
      <xdr:row>18</xdr:row>
      <xdr:rowOff>83820</xdr:rowOff>
    </xdr:to>
    <xdr:graphicFrame macro="">
      <xdr:nvGraphicFramePr>
        <xdr:cNvPr id="19" name="Chart 18">
          <a:extLst>
            <a:ext uri="{FF2B5EF4-FFF2-40B4-BE49-F238E27FC236}">
              <a16:creationId xmlns:a16="http://schemas.microsoft.com/office/drawing/2014/main" id="{76F0C287-14CE-4626-B482-1E3E33E036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36704</xdr:colOff>
      <xdr:row>3</xdr:row>
      <xdr:rowOff>101101</xdr:rowOff>
    </xdr:from>
    <xdr:to>
      <xdr:col>2</xdr:col>
      <xdr:colOff>525887</xdr:colOff>
      <xdr:row>13</xdr:row>
      <xdr:rowOff>139522</xdr:rowOff>
    </xdr:to>
    <mc:AlternateContent xmlns:mc="http://schemas.openxmlformats.org/markup-compatibility/2006" xmlns:a14="http://schemas.microsoft.com/office/drawing/2010/main">
      <mc:Choice Requires="a14">
        <xdr:graphicFrame macro="">
          <xdr:nvGraphicFramePr>
            <xdr:cNvPr id="20" name="Region 1">
              <a:extLst>
                <a:ext uri="{FF2B5EF4-FFF2-40B4-BE49-F238E27FC236}">
                  <a16:creationId xmlns:a16="http://schemas.microsoft.com/office/drawing/2014/main" id="{A616E97D-B8FD-4FBA-B757-91AA5F298FF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6704" y="649741"/>
              <a:ext cx="1708383" cy="18672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36704</xdr:colOff>
      <xdr:row>14</xdr:row>
      <xdr:rowOff>140594</xdr:rowOff>
    </xdr:from>
    <xdr:to>
      <xdr:col>2</xdr:col>
      <xdr:colOff>527432</xdr:colOff>
      <xdr:row>25</xdr:row>
      <xdr:rowOff>0</xdr:rowOff>
    </xdr:to>
    <mc:AlternateContent xmlns:mc="http://schemas.openxmlformats.org/markup-compatibility/2006" xmlns:a14="http://schemas.microsoft.com/office/drawing/2010/main">
      <mc:Choice Requires="a14">
        <xdr:graphicFrame macro="">
          <xdr:nvGraphicFramePr>
            <xdr:cNvPr id="21" name="Payment Method 1">
              <a:extLst>
                <a:ext uri="{FF2B5EF4-FFF2-40B4-BE49-F238E27FC236}">
                  <a16:creationId xmlns:a16="http://schemas.microsoft.com/office/drawing/2014/main" id="{4F844CB8-89CD-C059-7EB7-FDC299A5C0B0}"/>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36704" y="2700914"/>
              <a:ext cx="1709928" cy="18710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36383</xdr:colOff>
      <xdr:row>26</xdr:row>
      <xdr:rowOff>30157</xdr:rowOff>
    </xdr:from>
    <xdr:to>
      <xdr:col>2</xdr:col>
      <xdr:colOff>527111</xdr:colOff>
      <xdr:row>33</xdr:row>
      <xdr:rowOff>150253</xdr:rowOff>
    </xdr:to>
    <mc:AlternateContent xmlns:mc="http://schemas.openxmlformats.org/markup-compatibility/2006" xmlns:a14="http://schemas.microsoft.com/office/drawing/2010/main">
      <mc:Choice Requires="a14">
        <xdr:graphicFrame macro="">
          <xdr:nvGraphicFramePr>
            <xdr:cNvPr id="22" name="Delivery Status 1">
              <a:extLst>
                <a:ext uri="{FF2B5EF4-FFF2-40B4-BE49-F238E27FC236}">
                  <a16:creationId xmlns:a16="http://schemas.microsoft.com/office/drawing/2014/main" id="{8B7E115E-F3D6-AEFE-2870-26C9EF4231C3}"/>
                </a:ext>
              </a:extLst>
            </xdr:cNvPr>
            <xdr:cNvGraphicFramePr/>
          </xdr:nvGraphicFramePr>
          <xdr:xfrm>
            <a:off x="0" y="0"/>
            <a:ext cx="0" cy="0"/>
          </xdr:xfrm>
          <a:graphic>
            <a:graphicData uri="http://schemas.microsoft.com/office/drawing/2010/slicer">
              <sle:slicer xmlns:sle="http://schemas.microsoft.com/office/drawing/2010/slicer" name="Delivery Status 1"/>
            </a:graphicData>
          </a:graphic>
        </xdr:graphicFrame>
      </mc:Choice>
      <mc:Fallback xmlns="">
        <xdr:sp macro="" textlink="">
          <xdr:nvSpPr>
            <xdr:cNvPr id="0" name=""/>
            <xdr:cNvSpPr>
              <a:spLocks noTextEdit="1"/>
            </xdr:cNvSpPr>
          </xdr:nvSpPr>
          <xdr:spPr>
            <a:xfrm>
              <a:off x="36383" y="4785037"/>
              <a:ext cx="1709928" cy="14002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128790</xdr:colOff>
      <xdr:row>3</xdr:row>
      <xdr:rowOff>85860</xdr:rowOff>
    </xdr:from>
    <xdr:to>
      <xdr:col>21</xdr:col>
      <xdr:colOff>564445</xdr:colOff>
      <xdr:row>10</xdr:row>
      <xdr:rowOff>150254</xdr:rowOff>
    </xdr:to>
    <xdr:sp macro="" textlink="">
      <xdr:nvSpPr>
        <xdr:cNvPr id="23" name="Rectangle: Rounded Corners 22">
          <a:extLst>
            <a:ext uri="{FF2B5EF4-FFF2-40B4-BE49-F238E27FC236}">
              <a16:creationId xmlns:a16="http://schemas.microsoft.com/office/drawing/2014/main" id="{B396A99A-8F43-BA48-DA82-05087E9E93B5}"/>
            </a:ext>
          </a:extLst>
        </xdr:cNvPr>
        <xdr:cNvSpPr/>
      </xdr:nvSpPr>
      <xdr:spPr>
        <a:xfrm>
          <a:off x="11135457" y="622082"/>
          <a:ext cx="2270099" cy="1315579"/>
        </a:xfrm>
        <a:prstGeom prst="roundRect">
          <a:avLst/>
        </a:prstGeom>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13500000" scaled="1"/>
          <a:tileRect/>
        </a:gradFill>
        <a:ln w="19050">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t>💰TOTAL REVENUE</a:t>
          </a:r>
        </a:p>
      </xdr:txBody>
    </xdr:sp>
    <xdr:clientData/>
  </xdr:twoCellAnchor>
  <xdr:twoCellAnchor>
    <xdr:from>
      <xdr:col>18</xdr:col>
      <xdr:colOff>128787</xdr:colOff>
      <xdr:row>11</xdr:row>
      <xdr:rowOff>75127</xdr:rowOff>
    </xdr:from>
    <xdr:to>
      <xdr:col>21</xdr:col>
      <xdr:colOff>573852</xdr:colOff>
      <xdr:row>23</xdr:row>
      <xdr:rowOff>21465</xdr:rowOff>
    </xdr:to>
    <xdr:sp macro="" textlink="">
      <xdr:nvSpPr>
        <xdr:cNvPr id="24" name="Rectangle: Rounded Corners 23">
          <a:extLst>
            <a:ext uri="{FF2B5EF4-FFF2-40B4-BE49-F238E27FC236}">
              <a16:creationId xmlns:a16="http://schemas.microsoft.com/office/drawing/2014/main" id="{95009FE3-92AC-4FE3-F974-CC2616FEF8B8}"/>
            </a:ext>
          </a:extLst>
        </xdr:cNvPr>
        <xdr:cNvSpPr/>
      </xdr:nvSpPr>
      <xdr:spPr>
        <a:xfrm>
          <a:off x="11135454" y="2041275"/>
          <a:ext cx="2279509" cy="2091227"/>
        </a:xfrm>
        <a:prstGeom prst="roundRect">
          <a:avLst/>
        </a:prstGeom>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13500000" scaled="1"/>
          <a:tileRect/>
        </a:gradFill>
        <a:ln w="19050">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a:t>🛒HIGHEST SELLING PRODUCTS</a:t>
          </a:r>
        </a:p>
      </xdr:txBody>
    </xdr:sp>
    <xdr:clientData/>
  </xdr:twoCellAnchor>
  <xdr:twoCellAnchor>
    <xdr:from>
      <xdr:col>18</xdr:col>
      <xdr:colOff>118056</xdr:colOff>
      <xdr:row>23</xdr:row>
      <xdr:rowOff>128789</xdr:rowOff>
    </xdr:from>
    <xdr:to>
      <xdr:col>21</xdr:col>
      <xdr:colOff>564445</xdr:colOff>
      <xdr:row>31</xdr:row>
      <xdr:rowOff>21464</xdr:rowOff>
    </xdr:to>
    <xdr:sp macro="" textlink="">
      <xdr:nvSpPr>
        <xdr:cNvPr id="25" name="Rectangle: Rounded Corners 24">
          <a:extLst>
            <a:ext uri="{FF2B5EF4-FFF2-40B4-BE49-F238E27FC236}">
              <a16:creationId xmlns:a16="http://schemas.microsoft.com/office/drawing/2014/main" id="{88B6531A-AD47-E8F1-5133-74929D60A2E8}"/>
            </a:ext>
          </a:extLst>
        </xdr:cNvPr>
        <xdr:cNvSpPr/>
      </xdr:nvSpPr>
      <xdr:spPr>
        <a:xfrm>
          <a:off x="11124723" y="4239826"/>
          <a:ext cx="2280833" cy="1322601"/>
        </a:xfrm>
        <a:prstGeom prst="roundRect">
          <a:avLst/>
        </a:prstGeom>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13500000" scaled="1"/>
          <a:tileRect/>
        </a:gradFill>
        <a:ln w="19050">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t>🚚FAST DELIVERY %</a:t>
          </a:r>
        </a:p>
      </xdr:txBody>
    </xdr:sp>
    <xdr:clientData/>
  </xdr:twoCellAnchor>
  <xdr:twoCellAnchor>
    <xdr:from>
      <xdr:col>19</xdr:col>
      <xdr:colOff>42930</xdr:colOff>
      <xdr:row>6</xdr:row>
      <xdr:rowOff>160986</xdr:rowOff>
    </xdr:from>
    <xdr:to>
      <xdr:col>21</xdr:col>
      <xdr:colOff>96591</xdr:colOff>
      <xdr:row>8</xdr:row>
      <xdr:rowOff>128788</xdr:rowOff>
    </xdr:to>
    <xdr:sp macro="" textlink="AH5">
      <xdr:nvSpPr>
        <xdr:cNvPr id="26" name="TextBox 25">
          <a:extLst>
            <a:ext uri="{FF2B5EF4-FFF2-40B4-BE49-F238E27FC236}">
              <a16:creationId xmlns:a16="http://schemas.microsoft.com/office/drawing/2014/main" id="{901453E3-5487-CE2F-C490-CB2A0FEF4822}"/>
            </a:ext>
          </a:extLst>
        </xdr:cNvPr>
        <xdr:cNvSpPr txBox="1"/>
      </xdr:nvSpPr>
      <xdr:spPr>
        <a:xfrm>
          <a:off x="11666113" y="1255690"/>
          <a:ext cx="1277154" cy="332704"/>
        </a:xfrm>
        <a:prstGeom prst="rect">
          <a:avLst/>
        </a:prstGeom>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135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9BCF66D-C5E0-4ED9-8B68-68D21497BEFA}" type="TxLink">
            <a:rPr lang="en-US" sz="2000" b="0" i="0" u="none" strike="noStrike">
              <a:solidFill>
                <a:schemeClr val="bg1"/>
              </a:solidFill>
              <a:latin typeface="Calibri"/>
              <a:ea typeface="Calibri"/>
              <a:cs typeface="Calibri"/>
            </a:rPr>
            <a:pPr algn="ctr"/>
            <a:t>35258</a:t>
          </a:fld>
          <a:endParaRPr lang="en-US" sz="6600">
            <a:solidFill>
              <a:schemeClr val="bg1"/>
            </a:solidFill>
          </a:endParaRPr>
        </a:p>
      </xdr:txBody>
    </xdr:sp>
    <xdr:clientData/>
  </xdr:twoCellAnchor>
  <xdr:twoCellAnchor>
    <xdr:from>
      <xdr:col>18</xdr:col>
      <xdr:colOff>375633</xdr:colOff>
      <xdr:row>17</xdr:row>
      <xdr:rowOff>21464</xdr:rowOff>
    </xdr:from>
    <xdr:to>
      <xdr:col>20</xdr:col>
      <xdr:colOff>279720</xdr:colOff>
      <xdr:row>18</xdr:row>
      <xdr:rowOff>171718</xdr:rowOff>
    </xdr:to>
    <xdr:sp macro="" textlink="$AL$5:$AM$5">
      <xdr:nvSpPr>
        <xdr:cNvPr id="27" name="TextBox 26">
          <a:extLst>
            <a:ext uri="{FF2B5EF4-FFF2-40B4-BE49-F238E27FC236}">
              <a16:creationId xmlns:a16="http://schemas.microsoft.com/office/drawing/2014/main" id="{C4BF24D4-250C-DA20-CB7F-A5687679BBF3}"/>
            </a:ext>
          </a:extLst>
        </xdr:cNvPr>
        <xdr:cNvSpPr txBox="1"/>
      </xdr:nvSpPr>
      <xdr:spPr>
        <a:xfrm>
          <a:off x="11313709" y="3136983"/>
          <a:ext cx="1119429" cy="333520"/>
        </a:xfrm>
        <a:prstGeom prst="rect">
          <a:avLst/>
        </a:prstGeom>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135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EFB53E-3B49-4E5C-8041-C23E5B5DC9C5}" type="TxLink">
            <a:rPr lang="en-US" sz="1600" b="0" i="0" u="none" strike="noStrike">
              <a:solidFill>
                <a:schemeClr val="bg1"/>
              </a:solidFill>
              <a:latin typeface="Calibri"/>
              <a:ea typeface="Calibri"/>
              <a:cs typeface="Calibri"/>
            </a:rPr>
            <a:pPr algn="ctr"/>
            <a:t>Leg Set</a:t>
          </a:fld>
          <a:endParaRPr lang="en-US" sz="1600">
            <a:solidFill>
              <a:schemeClr val="bg1"/>
            </a:solidFill>
          </a:endParaRPr>
        </a:p>
      </xdr:txBody>
    </xdr:sp>
    <xdr:clientData/>
  </xdr:twoCellAnchor>
  <xdr:twoCellAnchor>
    <xdr:from>
      <xdr:col>18</xdr:col>
      <xdr:colOff>386367</xdr:colOff>
      <xdr:row>19</xdr:row>
      <xdr:rowOff>96592</xdr:rowOff>
    </xdr:from>
    <xdr:to>
      <xdr:col>20</xdr:col>
      <xdr:colOff>289367</xdr:colOff>
      <xdr:row>21</xdr:row>
      <xdr:rowOff>67519</xdr:rowOff>
    </xdr:to>
    <xdr:sp macro="" textlink="$AL$6:$AM$6">
      <xdr:nvSpPr>
        <xdr:cNvPr id="29" name="TextBox 28">
          <a:extLst>
            <a:ext uri="{FF2B5EF4-FFF2-40B4-BE49-F238E27FC236}">
              <a16:creationId xmlns:a16="http://schemas.microsoft.com/office/drawing/2014/main" id="{31890970-106F-FBE3-2419-97C2AD32E93F}"/>
            </a:ext>
          </a:extLst>
        </xdr:cNvPr>
        <xdr:cNvSpPr txBox="1"/>
      </xdr:nvSpPr>
      <xdr:spPr>
        <a:xfrm>
          <a:off x="11324443" y="3578643"/>
          <a:ext cx="1118342" cy="337458"/>
        </a:xfrm>
        <a:prstGeom prst="rect">
          <a:avLst/>
        </a:prstGeom>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135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D5B3C32-4164-429F-AA2C-9E73072FDA70}" type="TxLink">
            <a:rPr lang="en-US" sz="1600" b="0" i="0" u="none" strike="noStrike">
              <a:solidFill>
                <a:schemeClr val="bg1"/>
              </a:solidFill>
              <a:latin typeface="Calibri"/>
              <a:ea typeface="Calibri"/>
              <a:cs typeface="Calibri"/>
            </a:rPr>
            <a:pPr algn="ctr"/>
            <a:t>T-Shirt</a:t>
          </a:fld>
          <a:endParaRPr lang="en-US" sz="1600">
            <a:solidFill>
              <a:schemeClr val="bg1"/>
            </a:solidFill>
          </a:endParaRPr>
        </a:p>
      </xdr:txBody>
    </xdr:sp>
    <xdr:clientData/>
  </xdr:twoCellAnchor>
  <xdr:twoCellAnchor>
    <xdr:from>
      <xdr:col>20</xdr:col>
      <xdr:colOff>450761</xdr:colOff>
      <xdr:row>17</xdr:row>
      <xdr:rowOff>53662</xdr:rowOff>
    </xdr:from>
    <xdr:to>
      <xdr:col>21</xdr:col>
      <xdr:colOff>300507</xdr:colOff>
      <xdr:row>18</xdr:row>
      <xdr:rowOff>139520</xdr:rowOff>
    </xdr:to>
    <xdr:sp macro="" textlink="$AM$5">
      <xdr:nvSpPr>
        <xdr:cNvPr id="30" name="TextBox 29">
          <a:extLst>
            <a:ext uri="{FF2B5EF4-FFF2-40B4-BE49-F238E27FC236}">
              <a16:creationId xmlns:a16="http://schemas.microsoft.com/office/drawing/2014/main" id="{433BF6E7-D47D-F764-27DE-3C03D0845598}"/>
            </a:ext>
          </a:extLst>
        </xdr:cNvPr>
        <xdr:cNvSpPr txBox="1"/>
      </xdr:nvSpPr>
      <xdr:spPr>
        <a:xfrm>
          <a:off x="12685691" y="3155324"/>
          <a:ext cx="461492" cy="268309"/>
        </a:xfrm>
        <a:prstGeom prst="rect">
          <a:avLst/>
        </a:prstGeom>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135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18BFE1B-31F0-4FE2-8723-183E9C631128}" type="TxLink">
            <a:rPr lang="en-US" sz="1600" b="0" i="0" u="none" strike="noStrike">
              <a:solidFill>
                <a:schemeClr val="bg1"/>
              </a:solidFill>
              <a:latin typeface="Calibri"/>
              <a:ea typeface="Calibri"/>
              <a:cs typeface="Calibri"/>
            </a:rPr>
            <a:pPr algn="ctr"/>
            <a:t>8</a:t>
          </a:fld>
          <a:endParaRPr lang="en-US" sz="1600">
            <a:solidFill>
              <a:schemeClr val="bg1"/>
            </a:solidFill>
          </a:endParaRPr>
        </a:p>
      </xdr:txBody>
    </xdr:sp>
    <xdr:clientData/>
  </xdr:twoCellAnchor>
  <xdr:twoCellAnchor>
    <xdr:from>
      <xdr:col>20</xdr:col>
      <xdr:colOff>450760</xdr:colOff>
      <xdr:row>19</xdr:row>
      <xdr:rowOff>118057</xdr:rowOff>
    </xdr:from>
    <xdr:to>
      <xdr:col>21</xdr:col>
      <xdr:colOff>279043</xdr:colOff>
      <xdr:row>21</xdr:row>
      <xdr:rowOff>21464</xdr:rowOff>
    </xdr:to>
    <xdr:sp macro="" textlink="$AM$6">
      <xdr:nvSpPr>
        <xdr:cNvPr id="31" name="TextBox 30">
          <a:extLst>
            <a:ext uri="{FF2B5EF4-FFF2-40B4-BE49-F238E27FC236}">
              <a16:creationId xmlns:a16="http://schemas.microsoft.com/office/drawing/2014/main" id="{EFDA0942-789A-20F3-2229-5C0767E59C35}"/>
            </a:ext>
          </a:extLst>
        </xdr:cNvPr>
        <xdr:cNvSpPr txBox="1"/>
      </xdr:nvSpPr>
      <xdr:spPr>
        <a:xfrm>
          <a:off x="12685690" y="3584620"/>
          <a:ext cx="440029" cy="268309"/>
        </a:xfrm>
        <a:prstGeom prst="rect">
          <a:avLst/>
        </a:prstGeom>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135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DC9206-1123-417D-B10C-4B4C1B7F5058}" type="TxLink">
            <a:rPr lang="en-US" sz="1600" b="0" i="0" u="none" strike="noStrike">
              <a:solidFill>
                <a:schemeClr val="bg1"/>
              </a:solidFill>
              <a:latin typeface="Calibri"/>
              <a:ea typeface="Calibri"/>
              <a:cs typeface="Calibri"/>
            </a:rPr>
            <a:pPr algn="ctr"/>
            <a:t>8</a:t>
          </a:fld>
          <a:endParaRPr lang="en-US" sz="1600">
            <a:solidFill>
              <a:schemeClr val="bg1"/>
            </a:solidFill>
          </a:endParaRPr>
        </a:p>
      </xdr:txBody>
    </xdr:sp>
    <xdr:clientData/>
  </xdr:twoCellAnchor>
  <xdr:twoCellAnchor>
    <xdr:from>
      <xdr:col>19</xdr:col>
      <xdr:colOff>64394</xdr:colOff>
      <xdr:row>27</xdr:row>
      <xdr:rowOff>39670</xdr:rowOff>
    </xdr:from>
    <xdr:to>
      <xdr:col>21</xdr:col>
      <xdr:colOff>96591</xdr:colOff>
      <xdr:row>29</xdr:row>
      <xdr:rowOff>39670</xdr:rowOff>
    </xdr:to>
    <xdr:sp macro="" textlink="AT6">
      <xdr:nvSpPr>
        <xdr:cNvPr id="32" name="TextBox 31">
          <a:extLst>
            <a:ext uri="{FF2B5EF4-FFF2-40B4-BE49-F238E27FC236}">
              <a16:creationId xmlns:a16="http://schemas.microsoft.com/office/drawing/2014/main" id="{59CF606D-8719-8A80-12D9-8551C479092B}"/>
            </a:ext>
          </a:extLst>
        </xdr:cNvPr>
        <xdr:cNvSpPr txBox="1"/>
      </xdr:nvSpPr>
      <xdr:spPr>
        <a:xfrm>
          <a:off x="11610141" y="4987847"/>
          <a:ext cx="1247539" cy="366532"/>
        </a:xfrm>
        <a:prstGeom prst="rect">
          <a:avLst/>
        </a:prstGeom>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135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41EEE69-8C1A-457A-BD95-7E896C95BF6D}" type="TxLink">
            <a:rPr lang="en-US" sz="2000" b="0" i="0" u="none" strike="noStrike">
              <a:solidFill>
                <a:schemeClr val="bg1"/>
              </a:solidFill>
              <a:latin typeface="Calibri"/>
              <a:ea typeface="Calibri"/>
              <a:cs typeface="Calibri"/>
            </a:rPr>
            <a:pPr algn="ctr"/>
            <a:t>32%</a:t>
          </a:fld>
          <a:endParaRPr lang="en-US" sz="8800">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480060</xdr:colOff>
      <xdr:row>1</xdr:row>
      <xdr:rowOff>163830</xdr:rowOff>
    </xdr:from>
    <xdr:to>
      <xdr:col>14</xdr:col>
      <xdr:colOff>266700</xdr:colOff>
      <xdr:row>16</xdr:row>
      <xdr:rowOff>163830</xdr:rowOff>
    </xdr:to>
    <xdr:graphicFrame macro="">
      <xdr:nvGraphicFramePr>
        <xdr:cNvPr id="3" name="Chart 2">
          <a:extLst>
            <a:ext uri="{FF2B5EF4-FFF2-40B4-BE49-F238E27FC236}">
              <a16:creationId xmlns:a16="http://schemas.microsoft.com/office/drawing/2014/main" id="{4C0C2F37-3F75-48F5-3AD4-9D3D7D345E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464820</xdr:colOff>
      <xdr:row>1</xdr:row>
      <xdr:rowOff>148590</xdr:rowOff>
    </xdr:from>
    <xdr:to>
      <xdr:col>13</xdr:col>
      <xdr:colOff>160020</xdr:colOff>
      <xdr:row>16</xdr:row>
      <xdr:rowOff>148590</xdr:rowOff>
    </xdr:to>
    <xdr:graphicFrame macro="">
      <xdr:nvGraphicFramePr>
        <xdr:cNvPr id="2" name="Chart 1">
          <a:extLst>
            <a:ext uri="{FF2B5EF4-FFF2-40B4-BE49-F238E27FC236}">
              <a16:creationId xmlns:a16="http://schemas.microsoft.com/office/drawing/2014/main" id="{5313C3FA-343F-DD47-E971-4B7D8F621A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541020</xdr:colOff>
      <xdr:row>2</xdr:row>
      <xdr:rowOff>49530</xdr:rowOff>
    </xdr:from>
    <xdr:to>
      <xdr:col>11</xdr:col>
      <xdr:colOff>236220</xdr:colOff>
      <xdr:row>17</xdr:row>
      <xdr:rowOff>49530</xdr:rowOff>
    </xdr:to>
    <xdr:graphicFrame macro="">
      <xdr:nvGraphicFramePr>
        <xdr:cNvPr id="3" name="Chart 2">
          <a:extLst>
            <a:ext uri="{FF2B5EF4-FFF2-40B4-BE49-F238E27FC236}">
              <a16:creationId xmlns:a16="http://schemas.microsoft.com/office/drawing/2014/main" id="{06C8658D-3262-FA56-5CFA-5804515D6A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182880</xdr:colOff>
      <xdr:row>2</xdr:row>
      <xdr:rowOff>118110</xdr:rowOff>
    </xdr:from>
    <xdr:to>
      <xdr:col>11</xdr:col>
      <xdr:colOff>487680</xdr:colOff>
      <xdr:row>17</xdr:row>
      <xdr:rowOff>118110</xdr:rowOff>
    </xdr:to>
    <xdr:graphicFrame macro="">
      <xdr:nvGraphicFramePr>
        <xdr:cNvPr id="3" name="Chart 2">
          <a:extLst>
            <a:ext uri="{FF2B5EF4-FFF2-40B4-BE49-F238E27FC236}">
              <a16:creationId xmlns:a16="http://schemas.microsoft.com/office/drawing/2014/main" id="{3B8F09A8-4F8A-6D3C-F1A0-59CEDA8937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304800</xdr:colOff>
      <xdr:row>2</xdr:row>
      <xdr:rowOff>57150</xdr:rowOff>
    </xdr:from>
    <xdr:to>
      <xdr:col>12</xdr:col>
      <xdr:colOff>0</xdr:colOff>
      <xdr:row>17</xdr:row>
      <xdr:rowOff>57150</xdr:rowOff>
    </xdr:to>
    <xdr:graphicFrame macro="">
      <xdr:nvGraphicFramePr>
        <xdr:cNvPr id="6" name="Chart 5">
          <a:extLst>
            <a:ext uri="{FF2B5EF4-FFF2-40B4-BE49-F238E27FC236}">
              <a16:creationId xmlns:a16="http://schemas.microsoft.com/office/drawing/2014/main" id="{FEE3B300-9CF3-CAE4-2981-AEEB7BEAA9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usam Mishra" refreshedDate="46080.97154953704" createdVersion="8" refreshedVersion="8" minRefreshableVersion="3" recordCount="100" xr:uid="{FC37E212-13FF-4E2D-B46E-8207FCA4B165}">
  <cacheSource type="worksheet">
    <worksheetSource ref="A1:S101" sheet="Orders"/>
  </cacheSource>
  <cacheFields count="25">
    <cacheField name="Order ID" numFmtId="0">
      <sharedItems/>
    </cacheField>
    <cacheField name="Customer ID" numFmtId="0">
      <sharedItems/>
    </cacheField>
    <cacheField name="Product ID" numFmtId="0">
      <sharedItems/>
    </cacheField>
    <cacheField name="Region" numFmtId="0">
      <sharedItems count="5">
        <s v="North"/>
        <s v="East"/>
        <s v="South"/>
        <s v="Central"/>
        <s v="West"/>
      </sharedItems>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0">
      <sharedItems containsSemiMixedTypes="0" containsString="0" containsNumber="1" containsInteger="1" minValue="21" maxValue="3260"/>
    </cacheField>
    <cacheField name="Payment Method" numFmtId="0">
      <sharedItems count="5">
        <s v="Apple Pay"/>
        <s v="Credit Card"/>
        <s v="PayPal"/>
        <s v="Amazon Pay"/>
        <s v="Debit Card"/>
      </sharedItems>
    </cacheField>
    <cacheField name="Delivery Status" numFmtId="0">
      <sharedItems count="3">
        <s v="Cancelled"/>
        <s v="Delivered"/>
        <s v="In Transit"/>
      </sharedItems>
    </cacheField>
    <cacheField name="Fulfillment Partner" numFmtId="0">
      <sharedItems/>
    </cacheField>
    <cacheField name="Order Date" numFmtId="14">
      <sharedItems containsSemiMixedTypes="0" containsNonDate="0" containsDate="1" containsString="0" minDate="2023-01-07T00:00:00" maxDate="2024-01-01T00:00:00" count="81">
        <d v="2023-12-31T00:00:00"/>
        <d v="2023-02-22T00:00:00"/>
        <d v="2023-10-11T00:00:00"/>
        <d v="2023-05-05T00:00:00"/>
        <d v="2023-02-02T00:00:00"/>
        <d v="2023-11-01T00:00:00"/>
        <d v="2023-08-14T00:00:00"/>
        <d v="2023-04-01T00:00:00"/>
        <d v="2023-07-21T00:00:00"/>
        <d v="2023-12-29T00:00:00"/>
        <d v="2023-05-04T00:00:00"/>
        <d v="2023-07-25T00:00:00"/>
        <d v="2023-02-25T00:00:00"/>
        <d v="2023-02-24T00:00:00"/>
        <d v="2023-08-26T00:00:00"/>
        <d v="2023-02-13T00:00:00"/>
        <d v="2023-06-28T00:00:00"/>
        <d v="2023-11-28T00:00:00"/>
        <d v="2023-08-25T00:00:00"/>
        <d v="2023-04-12T00:00:00"/>
        <d v="2023-10-02T00:00:00"/>
        <d v="2023-11-09T00:00:00"/>
        <d v="2023-11-02T00:00:00"/>
        <d v="2023-05-28T00:00:00"/>
        <d v="2023-10-15T00:00:00"/>
        <d v="2023-01-16T00:00:00"/>
        <d v="2023-10-09T00:00:00"/>
        <d v="2023-10-07T00:00:00"/>
        <d v="2023-02-14T00:00:00"/>
        <d v="2023-03-26T00:00:00"/>
        <d v="2023-06-15T00:00:00"/>
        <d v="2023-05-22T00:00:00"/>
        <d v="2023-11-20T00:00:00"/>
        <d v="2023-12-22T00:00:00"/>
        <d v="2023-07-23T00:00:00"/>
        <d v="2023-10-17T00:00:00"/>
        <d v="2023-08-22T00:00:00"/>
        <d v="2023-12-02T00:00:00"/>
        <d v="2023-12-25T00:00:00"/>
        <d v="2023-09-23T00:00:00"/>
        <d v="2023-07-16T00:00:00"/>
        <d v="2023-02-05T00:00:00"/>
        <d v="2023-12-18T00:00:00"/>
        <d v="2023-06-11T00:00:00"/>
        <d v="2023-12-04T00:00:00"/>
        <d v="2023-07-17T00:00:00"/>
        <d v="2023-10-19T00:00:00"/>
        <d v="2023-05-15T00:00:00"/>
        <d v="2023-02-12T00:00:00"/>
        <d v="2023-01-30T00:00:00"/>
        <d v="2023-03-06T00:00:00"/>
        <d v="2023-10-18T00:00:00"/>
        <d v="2023-01-07T00:00:00"/>
        <d v="2023-05-08T00:00:00"/>
        <d v="2023-04-02T00:00:00"/>
        <d v="2023-09-10T00:00:00"/>
        <d v="2023-11-22T00:00:00"/>
        <d v="2023-05-02T00:00:00"/>
        <d v="2023-05-20T00:00:00"/>
        <d v="2023-07-28T00:00:00"/>
        <d v="2023-07-02T00:00:00"/>
        <d v="2023-03-07T00:00:00"/>
        <d v="2023-07-22T00:00:00"/>
        <d v="2023-01-18T00:00:00"/>
        <d v="2023-05-24T00:00:00"/>
        <d v="2023-09-03T00:00:00"/>
        <d v="2023-12-03T00:00:00"/>
        <d v="2023-10-16T00:00:00"/>
        <d v="2023-11-05T00:00:00"/>
        <d v="2023-10-28T00:00:00"/>
        <d v="2023-11-10T00:00:00"/>
        <d v="2023-07-13T00:00:00"/>
        <d v="2023-06-23T00:00:00"/>
        <d v="2023-02-21T00:00:00"/>
        <d v="2023-02-19T00:00:00"/>
        <d v="2023-12-05T00:00:00"/>
        <d v="2023-06-07T00:00:00"/>
        <d v="2023-07-09T00:00:00"/>
        <d v="2023-12-23T00:00:00"/>
        <d v="2023-09-25T00:00:00"/>
        <d v="2023-03-27T00:00:00"/>
      </sharedItems>
      <fieldGroup par="22"/>
    </cacheField>
    <cacheField name="Delivery Date" numFmtId="14">
      <sharedItems containsNonDate="0" containsDate="1" containsString="0" containsBlank="1" minDate="2023-01-09T00:00:00" maxDate="2024-01-02T00:00:00" count="32">
        <m/>
        <d v="2023-02-24T00:00:00"/>
        <d v="2023-02-05T00:00:00"/>
        <d v="2023-07-01T00:00:00"/>
        <d v="2023-11-05T00:00:00"/>
        <d v="2023-05-30T00:00:00"/>
        <d v="2023-10-21T00:00:00"/>
        <d v="2023-05-23T00:00:00"/>
        <d v="2023-12-26T00:00:00"/>
        <d v="2023-10-22T00:00:00"/>
        <d v="2023-09-30T00:00:00"/>
        <d v="2023-07-18T00:00:00"/>
        <d v="2023-12-08T00:00:00"/>
        <d v="2023-07-19T00:00:00"/>
        <d v="2023-10-24T00:00:00"/>
        <d v="2023-02-19T00:00:00"/>
        <d v="2023-02-01T00:00:00"/>
        <d v="2024-01-01T00:00:00"/>
        <d v="2023-02-06T00:00:00"/>
        <d v="2023-01-09T00:00:00"/>
        <d v="2023-11-29T00:00:00"/>
        <d v="2023-12-29T00:00:00"/>
        <d v="2023-07-30T00:00:00"/>
        <d v="2023-12-25T00:00:00"/>
        <d v="2023-01-24T00:00:00"/>
        <d v="2023-09-09T00:00:00"/>
        <d v="2023-11-04T00:00:00"/>
        <d v="2023-10-19T00:00:00"/>
        <d v="2023-10-30T00:00:00"/>
        <d v="2023-06-29T00:00:00"/>
        <d v="2023-02-21T00:00:00"/>
        <d v="2023-07-12T00:00:00"/>
      </sharedItems>
      <fieldGroup par="21"/>
    </cacheField>
    <cacheField name="Cancel Date" numFmtId="14">
      <sharedItems containsNonDate="0" containsDate="1" containsString="0" containsBlank="1" minDate="2023-01-24T00:00:00" maxDate="2024-01-03T00:00:00"/>
    </cacheField>
    <cacheField name="Cancellation Status" numFmtId="0">
      <sharedItems/>
    </cacheField>
    <cacheField name="Product Category" numFmtId="0">
      <sharedItems/>
    </cacheField>
    <cacheField name="Delivery Time (Days)" numFmtId="0">
      <sharedItems containsMixedTypes="1" containsNumber="1" containsInteger="1" minValue="1" maxValue="7"/>
    </cacheField>
    <cacheField name="Customer Name" numFmtId="0">
      <sharedItems/>
    </cacheField>
    <cacheField name="Delivery Performance" numFmtId="0">
      <sharedItems/>
    </cacheField>
    <cacheField name="Product Name" numFmtId="0">
      <sharedItems count="22">
        <s v="Lamp"/>
        <s v="Doll House"/>
        <s v="Vacuum Cleaner"/>
        <s v="Jeans"/>
        <s v="Bluetooth Speaker"/>
        <s v="Wall Clock"/>
        <s v="Formal Shirt"/>
        <s v="Cookware Set"/>
        <s v="Smartwatch"/>
        <s v="Shoes"/>
        <s v="Gaming Mouse"/>
        <s v="T-Shirt"/>
        <s v="Novel"/>
        <s v="Textbook"/>
        <s v="Smartphone"/>
        <s v="Action Figure"/>
        <s v="Backpack"/>
        <s v="Magazine"/>
        <s v="Headphones"/>
        <s v="Cookware Set Pro"/>
        <s v="Puzzle"/>
        <s v="Leg Set"/>
      </sharedItems>
    </cacheField>
    <cacheField name="Months (Delivery Date)" numFmtId="0" databaseField="0">
      <fieldGroup base="11">
        <rangePr groupBy="months" startDate="2023-01-09T00:00:00" endDate="2024-01-02T00:00:00"/>
        <groupItems count="14">
          <s v="&lt;09-01-23"/>
          <s v="Jan"/>
          <s v="Feb"/>
          <s v="Mar"/>
          <s v="Apr"/>
          <s v="May"/>
          <s v="Jun"/>
          <s v="Jul"/>
          <s v="Aug"/>
          <s v="Sep"/>
          <s v="Oct"/>
          <s v="Nov"/>
          <s v="Dec"/>
          <s v="&gt;02-01-24"/>
        </groupItems>
      </fieldGroup>
    </cacheField>
    <cacheField name="Quarters (Delivery Date)" numFmtId="0" databaseField="0">
      <fieldGroup base="11">
        <rangePr groupBy="quarters" startDate="2023-01-09T00:00:00" endDate="2024-01-02T00:00:00"/>
        <groupItems count="6">
          <s v="&lt;09-01-23"/>
          <s v="Qtr1"/>
          <s v="Qtr2"/>
          <s v="Qtr3"/>
          <s v="Qtr4"/>
          <s v="&gt;02-01-24"/>
        </groupItems>
      </fieldGroup>
    </cacheField>
    <cacheField name="Years (Delivery Date)" numFmtId="0" databaseField="0">
      <fieldGroup base="11">
        <rangePr groupBy="years" startDate="2023-01-09T00:00:00" endDate="2024-01-02T00:00:00"/>
        <groupItems count="4">
          <s v="&lt;09-01-23"/>
          <s v="2023"/>
          <s v="2024"/>
          <s v="&gt;02-01-24"/>
        </groupItems>
      </fieldGroup>
    </cacheField>
    <cacheField name="Months (Order Date)" numFmtId="0" databaseField="0">
      <fieldGroup base="10">
        <rangePr groupBy="months" startDate="2023-01-07T00:00:00" endDate="2024-01-01T00:00:00"/>
        <groupItems count="14">
          <s v="&lt;07-01-23"/>
          <s v="Jan"/>
          <s v="Feb"/>
          <s v="Mar"/>
          <s v="Apr"/>
          <s v="May"/>
          <s v="Jun"/>
          <s v="Jul"/>
          <s v="Aug"/>
          <s v="Sep"/>
          <s v="Oct"/>
          <s v="Nov"/>
          <s v="Dec"/>
          <s v="&gt;01-01-24"/>
        </groupItems>
      </fieldGroup>
    </cacheField>
    <cacheField name="High" numFmtId="0" formula="IF('Total Amount'&gt;=7000,'Total Amount', NA())" databaseField="0"/>
    <cacheField name="Low" numFmtId="0" formula="IF('Total Amount'&lt;7000,'Total Amount', NA())" databaseField="0"/>
  </cacheFields>
  <extLst>
    <ext xmlns:x14="http://schemas.microsoft.com/office/spreadsheetml/2009/9/main" uri="{725AE2AE-9491-48be-B2B4-4EB974FC3084}">
      <x14:pivotCacheDefinition pivotCacheId="121522854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usam Mishra" refreshedDate="46080.971550694441" createdVersion="8" refreshedVersion="8" minRefreshableVersion="3" recordCount="100" xr:uid="{FE6E18F9-21B7-45B4-A271-ABF1A40CE64F}">
  <cacheSource type="worksheet">
    <worksheetSource ref="A1:R101" sheet="Orders"/>
  </cacheSource>
  <cacheFields count="23">
    <cacheField name="Order ID" numFmtId="0">
      <sharedItems/>
    </cacheField>
    <cacheField name="Customer ID" numFmtId="0">
      <sharedItems/>
    </cacheField>
    <cacheField name="Product ID" numFmtId="0">
      <sharedItems/>
    </cacheField>
    <cacheField name="Region" numFmtId="0">
      <sharedItems count="5">
        <s v="North"/>
        <s v="East"/>
        <s v="South"/>
        <s v="Central"/>
        <s v="West"/>
      </sharedItems>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0">
      <sharedItems containsSemiMixedTypes="0" containsString="0" containsNumber="1" containsInteger="1" minValue="21" maxValue="3260"/>
    </cacheField>
    <cacheField name="Payment Method" numFmtId="0">
      <sharedItems count="5">
        <s v="Apple Pay"/>
        <s v="Credit Card"/>
        <s v="PayPal"/>
        <s v="Amazon Pay"/>
        <s v="Debit Card"/>
      </sharedItems>
    </cacheField>
    <cacheField name="Delivery Status" numFmtId="0">
      <sharedItems count="3">
        <s v="Cancelled"/>
        <s v="Delivered"/>
        <s v="In Transit"/>
      </sharedItems>
    </cacheField>
    <cacheField name="Fulfillment Partner" numFmtId="0">
      <sharedItems/>
    </cacheField>
    <cacheField name="Order Date" numFmtId="14">
      <sharedItems containsSemiMixedTypes="0" containsNonDate="0" containsDate="1" containsString="0" minDate="2023-01-07T00:00:00" maxDate="2024-01-01T00:00:00" count="81">
        <d v="2023-12-31T00:00:00"/>
        <d v="2023-02-22T00:00:00"/>
        <d v="2023-10-11T00:00:00"/>
        <d v="2023-05-05T00:00:00"/>
        <d v="2023-02-02T00:00:00"/>
        <d v="2023-11-01T00:00:00"/>
        <d v="2023-08-14T00:00:00"/>
        <d v="2023-04-01T00:00:00"/>
        <d v="2023-07-21T00:00:00"/>
        <d v="2023-12-29T00:00:00"/>
        <d v="2023-05-04T00:00:00"/>
        <d v="2023-07-25T00:00:00"/>
        <d v="2023-02-25T00:00:00"/>
        <d v="2023-02-24T00:00:00"/>
        <d v="2023-08-26T00:00:00"/>
        <d v="2023-02-13T00:00:00"/>
        <d v="2023-06-28T00:00:00"/>
        <d v="2023-11-28T00:00:00"/>
        <d v="2023-08-25T00:00:00"/>
        <d v="2023-04-12T00:00:00"/>
        <d v="2023-10-02T00:00:00"/>
        <d v="2023-11-09T00:00:00"/>
        <d v="2023-11-02T00:00:00"/>
        <d v="2023-05-28T00:00:00"/>
        <d v="2023-10-15T00:00:00"/>
        <d v="2023-01-16T00:00:00"/>
        <d v="2023-10-09T00:00:00"/>
        <d v="2023-10-07T00:00:00"/>
        <d v="2023-02-14T00:00:00"/>
        <d v="2023-03-26T00:00:00"/>
        <d v="2023-06-15T00:00:00"/>
        <d v="2023-05-22T00:00:00"/>
        <d v="2023-11-20T00:00:00"/>
        <d v="2023-12-22T00:00:00"/>
        <d v="2023-07-23T00:00:00"/>
        <d v="2023-10-17T00:00:00"/>
        <d v="2023-08-22T00:00:00"/>
        <d v="2023-12-02T00:00:00"/>
        <d v="2023-12-25T00:00:00"/>
        <d v="2023-09-23T00:00:00"/>
        <d v="2023-07-16T00:00:00"/>
        <d v="2023-02-05T00:00:00"/>
        <d v="2023-12-18T00:00:00"/>
        <d v="2023-06-11T00:00:00"/>
        <d v="2023-12-04T00:00:00"/>
        <d v="2023-07-17T00:00:00"/>
        <d v="2023-10-19T00:00:00"/>
        <d v="2023-05-15T00:00:00"/>
        <d v="2023-02-12T00:00:00"/>
        <d v="2023-01-30T00:00:00"/>
        <d v="2023-03-06T00:00:00"/>
        <d v="2023-10-18T00:00:00"/>
        <d v="2023-01-07T00:00:00"/>
        <d v="2023-05-08T00:00:00"/>
        <d v="2023-04-02T00:00:00"/>
        <d v="2023-09-10T00:00:00"/>
        <d v="2023-11-22T00:00:00"/>
        <d v="2023-05-02T00:00:00"/>
        <d v="2023-05-20T00:00:00"/>
        <d v="2023-07-28T00:00:00"/>
        <d v="2023-07-02T00:00:00"/>
        <d v="2023-03-07T00:00:00"/>
        <d v="2023-07-22T00:00:00"/>
        <d v="2023-01-18T00:00:00"/>
        <d v="2023-05-24T00:00:00"/>
        <d v="2023-09-03T00:00:00"/>
        <d v="2023-12-03T00:00:00"/>
        <d v="2023-10-16T00:00:00"/>
        <d v="2023-11-05T00:00:00"/>
        <d v="2023-10-28T00:00:00"/>
        <d v="2023-11-10T00:00:00"/>
        <d v="2023-07-13T00:00:00"/>
        <d v="2023-06-23T00:00:00"/>
        <d v="2023-02-21T00:00:00"/>
        <d v="2023-02-19T00:00:00"/>
        <d v="2023-12-05T00:00:00"/>
        <d v="2023-06-07T00:00:00"/>
        <d v="2023-07-09T00:00:00"/>
        <d v="2023-12-23T00:00:00"/>
        <d v="2023-09-25T00:00:00"/>
        <d v="2023-03-27T00:00:00"/>
      </sharedItems>
      <fieldGroup par="22"/>
    </cacheField>
    <cacheField name="Delivery Date" numFmtId="14">
      <sharedItems containsNonDate="0" containsDate="1" containsString="0" containsBlank="1" minDate="2023-01-09T00:00:00" maxDate="2024-01-02T00:00:00" count="32">
        <m/>
        <d v="2023-02-24T00:00:00"/>
        <d v="2023-02-05T00:00:00"/>
        <d v="2023-07-01T00:00:00"/>
        <d v="2023-11-05T00:00:00"/>
        <d v="2023-05-30T00:00:00"/>
        <d v="2023-10-21T00:00:00"/>
        <d v="2023-05-23T00:00:00"/>
        <d v="2023-12-26T00:00:00"/>
        <d v="2023-10-22T00:00:00"/>
        <d v="2023-09-30T00:00:00"/>
        <d v="2023-07-18T00:00:00"/>
        <d v="2023-12-08T00:00:00"/>
        <d v="2023-07-19T00:00:00"/>
        <d v="2023-10-24T00:00:00"/>
        <d v="2023-02-19T00:00:00"/>
        <d v="2023-02-01T00:00:00"/>
        <d v="2024-01-01T00:00:00"/>
        <d v="2023-02-06T00:00:00"/>
        <d v="2023-01-09T00:00:00"/>
        <d v="2023-11-29T00:00:00"/>
        <d v="2023-12-29T00:00:00"/>
        <d v="2023-07-30T00:00:00"/>
        <d v="2023-12-25T00:00:00"/>
        <d v="2023-01-24T00:00:00"/>
        <d v="2023-09-09T00:00:00"/>
        <d v="2023-11-04T00:00:00"/>
        <d v="2023-10-19T00:00:00"/>
        <d v="2023-10-30T00:00:00"/>
        <d v="2023-06-29T00:00:00"/>
        <d v="2023-02-21T00:00:00"/>
        <d v="2023-07-12T00:00:00"/>
      </sharedItems>
      <fieldGroup par="20"/>
    </cacheField>
    <cacheField name="Cancel Date" numFmtId="14">
      <sharedItems containsNonDate="0" containsDate="1" containsString="0" containsBlank="1" minDate="2023-01-24T00:00:00" maxDate="2024-01-03T00:00:00"/>
    </cacheField>
    <cacheField name="Cancellation Status" numFmtId="0">
      <sharedItems count="2">
        <s v="Yes"/>
        <s v="No"/>
      </sharedItems>
    </cacheField>
    <cacheField name="Product Category" numFmtId="0">
      <sharedItems count="5">
        <s v="Home"/>
        <s v="Toys"/>
        <s v="Fashion"/>
        <s v="Electronics"/>
        <s v="Books"/>
      </sharedItems>
    </cacheField>
    <cacheField name="Delivery Time (Days)" numFmtId="0">
      <sharedItems containsMixedTypes="1" containsNumber="1" containsInteger="1" minValue="1" maxValue="7"/>
    </cacheField>
    <cacheField name="Customer Name" numFmtId="0">
      <sharedItems/>
    </cacheField>
    <cacheField name="Delivery Performance" numFmtId="0">
      <sharedItems count="3">
        <s v="NA"/>
        <s v="Fast"/>
        <s v="Slow"/>
      </sharedItems>
    </cacheField>
    <cacheField name="Months (Delivery Date)" numFmtId="0" databaseField="0">
      <fieldGroup base="11">
        <rangePr groupBy="months" startDate="2023-01-09T00:00:00" endDate="2024-01-02T00:00:00"/>
        <groupItems count="14">
          <s v="&lt;09-01-23"/>
          <s v="Jan"/>
          <s v="Feb"/>
          <s v="Mar"/>
          <s v="Apr"/>
          <s v="May"/>
          <s v="Jun"/>
          <s v="Jul"/>
          <s v="Aug"/>
          <s v="Sep"/>
          <s v="Oct"/>
          <s v="Nov"/>
          <s v="Dec"/>
          <s v="&gt;02-01-24"/>
        </groupItems>
      </fieldGroup>
    </cacheField>
    <cacheField name="Quarters (Delivery Date)" numFmtId="0" databaseField="0">
      <fieldGroup base="11">
        <rangePr groupBy="quarters" startDate="2023-01-09T00:00:00" endDate="2024-01-02T00:00:00"/>
        <groupItems count="6">
          <s v="&lt;09-01-23"/>
          <s v="Qtr1"/>
          <s v="Qtr2"/>
          <s v="Qtr3"/>
          <s v="Qtr4"/>
          <s v="&gt;02-01-24"/>
        </groupItems>
      </fieldGroup>
    </cacheField>
    <cacheField name="Years (Delivery Date)" numFmtId="0" databaseField="0">
      <fieldGroup base="11">
        <rangePr groupBy="years" startDate="2023-01-09T00:00:00" endDate="2024-01-02T00:00:00"/>
        <groupItems count="4">
          <s v="&lt;09-01-23"/>
          <s v="2023"/>
          <s v="2024"/>
          <s v="&gt;02-01-24"/>
        </groupItems>
      </fieldGroup>
    </cacheField>
    <cacheField name="Days (Order Date)" numFmtId="0" databaseField="0">
      <fieldGroup base="10">
        <rangePr groupBy="days" startDate="2023-01-07T00:00:00" endDate="2024-01-01T00:00:00"/>
        <groupItems count="368">
          <s v="&lt;07-01-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4"/>
        </groupItems>
      </fieldGroup>
    </cacheField>
    <cacheField name="Months (Order Date)" numFmtId="0" databaseField="0">
      <fieldGroup base="10">
        <rangePr groupBy="months" startDate="2023-01-07T00:00:00" endDate="2024-01-01T00:00:00"/>
        <groupItems count="14">
          <s v="&lt;07-01-23"/>
          <s v="Jan"/>
          <s v="Feb"/>
          <s v="Mar"/>
          <s v="Apr"/>
          <s v="May"/>
          <s v="Jun"/>
          <s v="Jul"/>
          <s v="Aug"/>
          <s v="Sep"/>
          <s v="Oct"/>
          <s v="Nov"/>
          <s v="Dec"/>
          <s v="&gt;01-01-24"/>
        </groupItems>
      </fieldGroup>
    </cacheField>
  </cacheFields>
  <extLst>
    <ext xmlns:x14="http://schemas.microsoft.com/office/spreadsheetml/2009/9/main" uri="{725AE2AE-9491-48be-B2B4-4EB974FC3084}">
      <x14:pivotCacheDefinition pivotCacheId="193782201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usam Mishra" refreshedDate="46090.845194791669" createdVersion="8" refreshedVersion="8" minRefreshableVersion="3" recordCount="100" xr:uid="{58D9942E-4DC7-43A8-A1A3-2DFB33786A8A}">
  <cacheSource type="worksheet">
    <worksheetSource name="Table1"/>
  </cacheSource>
  <cacheFields count="21">
    <cacheField name="Order ID" numFmtId="0">
      <sharedItems count="100">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haredItems>
    </cacheField>
    <cacheField name="Customer ID" numFmtId="0">
      <sharedItems/>
    </cacheField>
    <cacheField name="Product ID" numFmtId="0">
      <sharedItems/>
    </cacheField>
    <cacheField name="Region" numFmtId="0">
      <sharedItems count="5">
        <s v="North"/>
        <s v="East"/>
        <s v="South"/>
        <s v="Central"/>
        <s v="West"/>
      </sharedItems>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0">
      <sharedItems containsSemiMixedTypes="0" containsString="0" containsNumber="1" containsInteger="1" minValue="21" maxValue="3260" count="82">
        <n v="44"/>
        <n v="384"/>
        <n v="776"/>
        <n v="588"/>
        <n v="59"/>
        <n v="232"/>
        <n v="315"/>
        <n v="185"/>
        <n v="88"/>
        <n v="564"/>
        <n v="249"/>
        <n v="741"/>
        <n v="96"/>
        <n v="370"/>
        <n v="27"/>
        <n v="81"/>
        <n v="63"/>
        <n v="350"/>
        <n v="376"/>
        <n v="1626"/>
        <n v="84"/>
        <n v="230"/>
        <n v="174"/>
        <n v="480"/>
        <n v="43"/>
        <n v="256"/>
        <n v="140"/>
        <n v="291"/>
        <n v="111"/>
        <n v="345"/>
        <n v="210"/>
        <n v="55"/>
        <n v="54"/>
        <n v="21"/>
        <n v="172"/>
        <n v="636"/>
        <n v="164"/>
        <n v="64"/>
        <n v="132"/>
        <n v="248"/>
        <n v="692"/>
        <n v="189"/>
        <n v="108"/>
        <n v="62"/>
        <n v="685"/>
        <n v="292"/>
        <n v="104"/>
        <n v="97"/>
        <n v="365"/>
        <n v="37"/>
        <n v="22"/>
        <n v="1090"/>
        <n v="144"/>
        <n v="65"/>
        <n v="26"/>
        <n v="780"/>
        <n v="220"/>
        <n v="276"/>
        <n v="3260"/>
        <n v="695"/>
        <n v="207"/>
        <n v="42"/>
        <n v="124"/>
        <n v="312"/>
        <n v="116"/>
        <n v="190"/>
        <n v="1070"/>
        <n v="46"/>
        <n v="380"/>
        <n v="348"/>
        <n v="135"/>
        <n v="130"/>
        <n v="215"/>
        <n v="3152"/>
        <n v="1085"/>
        <n v="552"/>
        <n v="1606"/>
        <n v="1240"/>
        <n v="630"/>
        <n v="475"/>
        <n v="430"/>
        <n v="168"/>
      </sharedItems>
    </cacheField>
    <cacheField name="Payment Method" numFmtId="0">
      <sharedItems/>
    </cacheField>
    <cacheField name="Delivery Status" numFmtId="0">
      <sharedItems/>
    </cacheField>
    <cacheField name="Fulfillment Partner" numFmtId="0">
      <sharedItems/>
    </cacheField>
    <cacheField name="Order Date" numFmtId="14">
      <sharedItems containsSemiMixedTypes="0" containsNonDate="0" containsDate="1" containsString="0" minDate="2023-01-07T00:00:00" maxDate="2024-01-01T00:00:00" count="81">
        <d v="2023-12-31T00:00:00"/>
        <d v="2023-02-22T00:00:00"/>
        <d v="2023-10-11T00:00:00"/>
        <d v="2023-05-05T00:00:00"/>
        <d v="2023-02-02T00:00:00"/>
        <d v="2023-11-01T00:00:00"/>
        <d v="2023-08-14T00:00:00"/>
        <d v="2023-04-01T00:00:00"/>
        <d v="2023-07-21T00:00:00"/>
        <d v="2023-12-29T00:00:00"/>
        <d v="2023-05-04T00:00:00"/>
        <d v="2023-07-25T00:00:00"/>
        <d v="2023-02-25T00:00:00"/>
        <d v="2023-02-24T00:00:00"/>
        <d v="2023-08-26T00:00:00"/>
        <d v="2023-02-13T00:00:00"/>
        <d v="2023-06-28T00:00:00"/>
        <d v="2023-11-28T00:00:00"/>
        <d v="2023-08-25T00:00:00"/>
        <d v="2023-04-12T00:00:00"/>
        <d v="2023-10-02T00:00:00"/>
        <d v="2023-11-09T00:00:00"/>
        <d v="2023-11-02T00:00:00"/>
        <d v="2023-05-28T00:00:00"/>
        <d v="2023-10-15T00:00:00"/>
        <d v="2023-01-16T00:00:00"/>
        <d v="2023-10-09T00:00:00"/>
        <d v="2023-10-07T00:00:00"/>
        <d v="2023-02-14T00:00:00"/>
        <d v="2023-03-26T00:00:00"/>
        <d v="2023-06-15T00:00:00"/>
        <d v="2023-05-22T00:00:00"/>
        <d v="2023-11-20T00:00:00"/>
        <d v="2023-12-22T00:00:00"/>
        <d v="2023-07-23T00:00:00"/>
        <d v="2023-10-17T00:00:00"/>
        <d v="2023-08-22T00:00:00"/>
        <d v="2023-12-02T00:00:00"/>
        <d v="2023-12-25T00:00:00"/>
        <d v="2023-09-23T00:00:00"/>
        <d v="2023-07-16T00:00:00"/>
        <d v="2023-02-05T00:00:00"/>
        <d v="2023-12-18T00:00:00"/>
        <d v="2023-06-11T00:00:00"/>
        <d v="2023-12-04T00:00:00"/>
        <d v="2023-07-17T00:00:00"/>
        <d v="2023-10-19T00:00:00"/>
        <d v="2023-05-15T00:00:00"/>
        <d v="2023-02-12T00:00:00"/>
        <d v="2023-01-30T00:00:00"/>
        <d v="2023-03-06T00:00:00"/>
        <d v="2023-10-18T00:00:00"/>
        <d v="2023-01-07T00:00:00"/>
        <d v="2023-05-08T00:00:00"/>
        <d v="2023-04-02T00:00:00"/>
        <d v="2023-09-10T00:00:00"/>
        <d v="2023-11-22T00:00:00"/>
        <d v="2023-05-02T00:00:00"/>
        <d v="2023-05-20T00:00:00"/>
        <d v="2023-07-28T00:00:00"/>
        <d v="2023-07-02T00:00:00"/>
        <d v="2023-03-07T00:00:00"/>
        <d v="2023-07-22T00:00:00"/>
        <d v="2023-01-18T00:00:00"/>
        <d v="2023-05-24T00:00:00"/>
        <d v="2023-09-03T00:00:00"/>
        <d v="2023-12-03T00:00:00"/>
        <d v="2023-10-16T00:00:00"/>
        <d v="2023-11-05T00:00:00"/>
        <d v="2023-10-28T00:00:00"/>
        <d v="2023-11-10T00:00:00"/>
        <d v="2023-07-13T00:00:00"/>
        <d v="2023-06-23T00:00:00"/>
        <d v="2023-02-21T00:00:00"/>
        <d v="2023-02-19T00:00:00"/>
        <d v="2023-12-05T00:00:00"/>
        <d v="2023-06-07T00:00:00"/>
        <d v="2023-07-09T00:00:00"/>
        <d v="2023-12-23T00:00:00"/>
        <d v="2023-09-25T00:00:00"/>
        <d v="2023-03-27T00:00:00"/>
      </sharedItems>
      <fieldGroup par="20"/>
    </cacheField>
    <cacheField name="Delivery Date" numFmtId="14">
      <sharedItems containsNonDate="0" containsDate="1" containsString="0" containsBlank="1" minDate="2023-01-09T00:00:00" maxDate="2024-01-02T00:00:00"/>
    </cacheField>
    <cacheField name="Cancel Date" numFmtId="14">
      <sharedItems containsNonDate="0" containsDate="1" containsString="0" containsBlank="1" minDate="2023-01-24T00:00:00" maxDate="2024-01-03T00:00:00"/>
    </cacheField>
    <cacheField name="Cancellation Status" numFmtId="0">
      <sharedItems/>
    </cacheField>
    <cacheField name="Product Category" numFmtId="0">
      <sharedItems count="5">
        <s v="Home"/>
        <s v="Toys"/>
        <s v="Fashion"/>
        <s v="Electronics"/>
        <s v="Books"/>
      </sharedItems>
    </cacheField>
    <cacheField name="Delivery Time (Days)" numFmtId="0">
      <sharedItems containsMixedTypes="1" containsNumber="1" containsInteger="1" minValue="1" maxValue="7"/>
    </cacheField>
    <cacheField name="Customer Name" numFmtId="0">
      <sharedItems/>
    </cacheField>
    <cacheField name="Delivery Performance" numFmtId="0">
      <sharedItems count="3">
        <s v="NA"/>
        <s v="Fast"/>
        <s v="Slow"/>
      </sharedItems>
    </cacheField>
    <cacheField name="Product Name" numFmtId="0">
      <sharedItems count="22">
        <s v="Lamp"/>
        <s v="Doll House"/>
        <s v="Vacuum Cleaner"/>
        <s v="Jeans"/>
        <s v="Bluetooth Speaker"/>
        <s v="Wall Clock"/>
        <s v="Formal Shirt"/>
        <s v="Cookware Set"/>
        <s v="Smartwatch"/>
        <s v="Shoes"/>
        <s v="Gaming Mouse"/>
        <s v="T-Shirt"/>
        <s v="Novel"/>
        <s v="Textbook"/>
        <s v="Smartphone"/>
        <s v="Action Figure"/>
        <s v="Backpack"/>
        <s v="Magazine"/>
        <s v="Headphones"/>
        <s v="Cookware Set Pro"/>
        <s v="Puzzle"/>
        <s v="Leg Set"/>
      </sharedItems>
    </cacheField>
    <cacheField name="Days (Order Date)" numFmtId="0" databaseField="0">
      <fieldGroup base="10">
        <rangePr groupBy="days" startDate="2023-01-07T00:00:00" endDate="2024-01-01T00:00:00"/>
        <groupItems count="368">
          <s v="&lt;07-01-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4"/>
        </groupItems>
      </fieldGroup>
    </cacheField>
    <cacheField name="Months (Order Date)" numFmtId="0" databaseField="0">
      <fieldGroup base="10">
        <rangePr groupBy="months" startDate="2023-01-07T00:00:00" endDate="2024-01-01T00:00:00"/>
        <groupItems count="14">
          <s v="&lt;07-01-23"/>
          <s v="Jan"/>
          <s v="Feb"/>
          <s v="Mar"/>
          <s v="Apr"/>
          <s v="May"/>
          <s v="Jun"/>
          <s v="Jul"/>
          <s v="Aug"/>
          <s v="Sep"/>
          <s v="Oct"/>
          <s v="Nov"/>
          <s v="Dec"/>
          <s v="&gt;01-01-24"/>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s v="CUST021"/>
    <s v="PROD012"/>
    <x v="0"/>
    <n v="44"/>
    <n v="1"/>
    <n v="44"/>
    <x v="0"/>
    <x v="0"/>
    <s v="DHL"/>
    <x v="0"/>
    <x v="0"/>
    <d v="2024-01-02T00:00:00"/>
    <s v="Yes"/>
    <s v="Home"/>
    <s v="NA"/>
    <s v="Zoe Mitchell"/>
    <s v="NA"/>
    <x v="0"/>
  </r>
  <r>
    <s v="ORD0002"/>
    <s v="CUST029"/>
    <s v="PROD018"/>
    <x v="1"/>
    <n v="96"/>
    <n v="4"/>
    <n v="384"/>
    <x v="1"/>
    <x v="1"/>
    <s v="DHL"/>
    <x v="1"/>
    <x v="1"/>
    <m/>
    <s v="No"/>
    <s v="Toys"/>
    <n v="2"/>
    <s v="Ava White"/>
    <s v="Fast"/>
    <x v="1"/>
  </r>
  <r>
    <s v="ORD0003"/>
    <s v="CUST021"/>
    <s v="PROD013"/>
    <x v="2"/>
    <n v="194"/>
    <n v="4"/>
    <n v="776"/>
    <x v="1"/>
    <x v="2"/>
    <s v="USPS"/>
    <x v="2"/>
    <x v="0"/>
    <m/>
    <s v="No"/>
    <s v="Home"/>
    <s v="NA"/>
    <s v="Zoe Mitchell"/>
    <s v="NA"/>
    <x v="2"/>
  </r>
  <r>
    <s v="ORD0004"/>
    <s v="CUST044"/>
    <s v="PROD013"/>
    <x v="0"/>
    <n v="196"/>
    <n v="3"/>
    <n v="588"/>
    <x v="2"/>
    <x v="0"/>
    <s v="UPS"/>
    <x v="3"/>
    <x v="0"/>
    <d v="2023-05-11T00:00:00"/>
    <s v="Yes"/>
    <s v="Home"/>
    <s v="NA"/>
    <s v="Grace Ward"/>
    <s v="NA"/>
    <x v="2"/>
  </r>
  <r>
    <s v="ORD0005"/>
    <s v="CUST027"/>
    <s v="PROD010"/>
    <x v="0"/>
    <n v="59"/>
    <n v="1"/>
    <n v="59"/>
    <x v="2"/>
    <x v="1"/>
    <s v="Amazon Logistics"/>
    <x v="4"/>
    <x v="2"/>
    <m/>
    <s v="No"/>
    <s v="Fashion"/>
    <n v="3"/>
    <s v="Hazel Brooks"/>
    <s v="Slow"/>
    <x v="3"/>
  </r>
  <r>
    <s v="ORD0006"/>
    <s v="CUST009"/>
    <s v="PROD010"/>
    <x v="0"/>
    <n v="58"/>
    <n v="4"/>
    <n v="232"/>
    <x v="3"/>
    <x v="0"/>
    <s v="DHL"/>
    <x v="5"/>
    <x v="0"/>
    <d v="2023-11-02T00:00:00"/>
    <s v="Yes"/>
    <s v="Fashion"/>
    <s v="NA"/>
    <s v="Jackson Allen"/>
    <s v="NA"/>
    <x v="3"/>
  </r>
  <r>
    <s v="ORD0007"/>
    <s v="CUST042"/>
    <s v="PROD020"/>
    <x v="3"/>
    <n v="105"/>
    <n v="3"/>
    <n v="315"/>
    <x v="4"/>
    <x v="0"/>
    <s v="DHL"/>
    <x v="6"/>
    <x v="0"/>
    <d v="2023-08-18T00:00:00"/>
    <s v="Yes"/>
    <s v="Electronics"/>
    <s v="NA"/>
    <s v="Noah Wilson"/>
    <s v="NA"/>
    <x v="4"/>
  </r>
  <r>
    <s v="ORD0008"/>
    <s v="CUST019"/>
    <s v="PROD021"/>
    <x v="4"/>
    <n v="37"/>
    <n v="5"/>
    <n v="185"/>
    <x v="2"/>
    <x v="0"/>
    <s v="DHL"/>
    <x v="7"/>
    <x v="0"/>
    <d v="2023-04-06T00:00:00"/>
    <s v="Yes"/>
    <s v="Home"/>
    <s v="NA"/>
    <s v="Ava Robinson"/>
    <s v="NA"/>
    <x v="5"/>
  </r>
  <r>
    <s v="ORD0009"/>
    <s v="CUST013"/>
    <s v="PROD019"/>
    <x v="3"/>
    <n v="44"/>
    <n v="2"/>
    <n v="88"/>
    <x v="1"/>
    <x v="2"/>
    <s v="Amazon Logistics"/>
    <x v="8"/>
    <x v="0"/>
    <m/>
    <s v="No"/>
    <s v="Fashion"/>
    <s v="NA"/>
    <s v="Olivia Martinez"/>
    <s v="NA"/>
    <x v="6"/>
  </r>
  <r>
    <s v="ORD0010"/>
    <s v="CUST019"/>
    <s v="PROD003"/>
    <x v="2"/>
    <n v="141"/>
    <n v="4"/>
    <n v="564"/>
    <x v="4"/>
    <x v="2"/>
    <s v="DHL"/>
    <x v="9"/>
    <x v="0"/>
    <m/>
    <s v="No"/>
    <s v="Home"/>
    <s v="NA"/>
    <s v="Ava Robinson"/>
    <s v="NA"/>
    <x v="7"/>
  </r>
  <r>
    <s v="ORD0011"/>
    <s v="CUST046"/>
    <s v="PROD014"/>
    <x v="2"/>
    <n v="249"/>
    <n v="1"/>
    <n v="249"/>
    <x v="3"/>
    <x v="0"/>
    <s v="USPS"/>
    <x v="10"/>
    <x v="0"/>
    <d v="2023-05-08T00:00:00"/>
    <s v="Yes"/>
    <s v="Electronics"/>
    <s v="NA"/>
    <s v="Emily Johnson"/>
    <s v="NA"/>
    <x v="8"/>
  </r>
  <r>
    <s v="ORD0012"/>
    <s v="CUST045"/>
    <s v="PROD014"/>
    <x v="3"/>
    <n v="247"/>
    <n v="3"/>
    <n v="741"/>
    <x v="3"/>
    <x v="2"/>
    <s v="FedEx"/>
    <x v="11"/>
    <x v="0"/>
    <m/>
    <s v="No"/>
    <s v="Electronics"/>
    <s v="NA"/>
    <s v="Emily Johnson"/>
    <s v="NA"/>
    <x v="8"/>
  </r>
  <r>
    <s v="ORD0013"/>
    <s v="CUST023"/>
    <s v="PROD006"/>
    <x v="3"/>
    <n v="96"/>
    <n v="1"/>
    <n v="96"/>
    <x v="0"/>
    <x v="0"/>
    <s v="Amazon Logistics"/>
    <x v="12"/>
    <x v="0"/>
    <d v="2023-02-28T00:00:00"/>
    <s v="Yes"/>
    <s v="Fashion"/>
    <s v="NA"/>
    <s v="Charlotte Reed"/>
    <s v="NA"/>
    <x v="9"/>
  </r>
  <r>
    <s v="ORD0014"/>
    <s v="CUST033"/>
    <s v="PROD017"/>
    <x v="4"/>
    <n v="74"/>
    <n v="5"/>
    <n v="370"/>
    <x v="0"/>
    <x v="0"/>
    <s v="Amazon Logistics"/>
    <x v="13"/>
    <x v="0"/>
    <d v="2023-02-25T00:00:00"/>
    <s v="Yes"/>
    <s v="Electronics"/>
    <s v="NA"/>
    <s v="Hazel Rivera"/>
    <s v="NA"/>
    <x v="10"/>
  </r>
  <r>
    <s v="ORD0015"/>
    <s v="CUST033"/>
    <s v="PROD005"/>
    <x v="2"/>
    <n v="27"/>
    <n v="1"/>
    <n v="27"/>
    <x v="1"/>
    <x v="0"/>
    <s v="Amazon Logistics"/>
    <x v="14"/>
    <x v="0"/>
    <d v="2023-09-02T00:00:00"/>
    <s v="Yes"/>
    <s v="Fashion"/>
    <s v="NA"/>
    <s v="Hazel Rivera"/>
    <s v="NA"/>
    <x v="11"/>
  </r>
  <r>
    <s v="ORD0016"/>
    <s v="CUST047"/>
    <s v="PROD005"/>
    <x v="2"/>
    <n v="27"/>
    <n v="3"/>
    <n v="81"/>
    <x v="4"/>
    <x v="2"/>
    <s v="Amazon Logistics"/>
    <x v="15"/>
    <x v="0"/>
    <m/>
    <s v="No"/>
    <s v="Fashion"/>
    <s v="NA"/>
    <s v="Scarlett Murphy"/>
    <s v="NA"/>
    <x v="11"/>
  </r>
  <r>
    <s v="ORD0017"/>
    <s v="CUST045"/>
    <s v="PROD015"/>
    <x v="1"/>
    <n v="21"/>
    <n v="3"/>
    <n v="63"/>
    <x v="1"/>
    <x v="1"/>
    <s v="DHL"/>
    <x v="16"/>
    <x v="3"/>
    <m/>
    <s v="No"/>
    <s v="Books"/>
    <n v="3"/>
    <s v="Emily Johnson"/>
    <s v="Slow"/>
    <x v="12"/>
  </r>
  <r>
    <s v="ORD0018"/>
    <s v="CUST011"/>
    <s v="PROD008"/>
    <x v="4"/>
    <n v="70"/>
    <n v="5"/>
    <n v="350"/>
    <x v="2"/>
    <x v="2"/>
    <s v="Amazon Logistics"/>
    <x v="17"/>
    <x v="0"/>
    <m/>
    <s v="No"/>
    <s v="Books"/>
    <s v="NA"/>
    <s v="Mason Hall"/>
    <s v="NA"/>
    <x v="13"/>
  </r>
  <r>
    <s v="ORD0019"/>
    <s v="CUST041"/>
    <s v="PROD006"/>
    <x v="2"/>
    <n v="94"/>
    <n v="4"/>
    <n v="376"/>
    <x v="1"/>
    <x v="2"/>
    <s v="USPS"/>
    <x v="18"/>
    <x v="0"/>
    <m/>
    <s v="No"/>
    <s v="Fashion"/>
    <s v="NA"/>
    <s v="Jacob Price"/>
    <s v="NA"/>
    <x v="9"/>
  </r>
  <r>
    <s v="ORD0020"/>
    <s v="CUST025"/>
    <s v="PROD001"/>
    <x v="0"/>
    <n v="813"/>
    <n v="2"/>
    <n v="1626"/>
    <x v="1"/>
    <x v="2"/>
    <s v="FedEx"/>
    <x v="19"/>
    <x v="0"/>
    <m/>
    <s v="No"/>
    <s v="Electronics"/>
    <s v="NA"/>
    <s v="Emma King"/>
    <s v="NA"/>
    <x v="14"/>
  </r>
  <r>
    <s v="ORD0021"/>
    <s v="CUST013"/>
    <s v="PROD015"/>
    <x v="3"/>
    <n v="21"/>
    <n v="4"/>
    <n v="84"/>
    <x v="2"/>
    <x v="2"/>
    <s v="Amazon Logistics"/>
    <x v="20"/>
    <x v="0"/>
    <m/>
    <s v="No"/>
    <s v="Books"/>
    <s v="NA"/>
    <s v="Olivia Martinez"/>
    <s v="NA"/>
    <x v="12"/>
  </r>
  <r>
    <s v="ORD0022"/>
    <s v="CUST023"/>
    <s v="PROD012"/>
    <x v="4"/>
    <n v="46"/>
    <n v="5"/>
    <n v="230"/>
    <x v="2"/>
    <x v="2"/>
    <s v="USPS"/>
    <x v="21"/>
    <x v="0"/>
    <m/>
    <s v="No"/>
    <s v="Home"/>
    <s v="NA"/>
    <s v="Charlotte Reed"/>
    <s v="NA"/>
    <x v="0"/>
  </r>
  <r>
    <s v="ORD0023"/>
    <s v="CUST016"/>
    <s v="PROD010"/>
    <x v="4"/>
    <n v="58"/>
    <n v="3"/>
    <n v="174"/>
    <x v="3"/>
    <x v="0"/>
    <s v="Amazon Logistics"/>
    <x v="15"/>
    <x v="0"/>
    <d v="2023-02-14T00:00:00"/>
    <s v="Yes"/>
    <s v="Fashion"/>
    <s v="NA"/>
    <s v="Elijah Lewis"/>
    <s v="NA"/>
    <x v="3"/>
  </r>
  <r>
    <s v="ORD0024"/>
    <s v="CUST028"/>
    <s v="PROD006"/>
    <x v="4"/>
    <n v="96"/>
    <n v="5"/>
    <n v="480"/>
    <x v="3"/>
    <x v="1"/>
    <s v="Amazon Logistics"/>
    <x v="22"/>
    <x v="4"/>
    <m/>
    <s v="No"/>
    <s v="Fashion"/>
    <n v="3"/>
    <s v="Lily Bennett"/>
    <s v="Slow"/>
    <x v="9"/>
  </r>
  <r>
    <s v="ORD0025"/>
    <s v="CUST040"/>
    <s v="PROD002"/>
    <x v="2"/>
    <n v="43"/>
    <n v="1"/>
    <n v="43"/>
    <x v="4"/>
    <x v="1"/>
    <s v="Amazon Logistics"/>
    <x v="23"/>
    <x v="5"/>
    <m/>
    <s v="No"/>
    <s v="Toys"/>
    <n v="2"/>
    <s v="Benjamin Clark"/>
    <s v="Fast"/>
    <x v="15"/>
  </r>
  <r>
    <s v="ORD0026"/>
    <s v="CUST027"/>
    <s v="PROD022"/>
    <x v="2"/>
    <n v="64"/>
    <n v="4"/>
    <n v="256"/>
    <x v="4"/>
    <x v="1"/>
    <s v="USPS"/>
    <x v="24"/>
    <x v="6"/>
    <m/>
    <s v="No"/>
    <s v="Fashion"/>
    <n v="6"/>
    <s v="Hazel Brooks"/>
    <s v="Slow"/>
    <x v="16"/>
  </r>
  <r>
    <s v="ORD0027"/>
    <s v="CUST018"/>
    <s v="PROD008"/>
    <x v="2"/>
    <n v="70"/>
    <n v="2"/>
    <n v="140"/>
    <x v="3"/>
    <x v="2"/>
    <s v="Amazon Logistics"/>
    <x v="25"/>
    <x v="0"/>
    <m/>
    <s v="No"/>
    <s v="Books"/>
    <s v="NA"/>
    <s v="Grace Scott"/>
    <s v="NA"/>
    <x v="13"/>
  </r>
  <r>
    <s v="ORD0028"/>
    <s v="CUST018"/>
    <s v="PROD018"/>
    <x v="3"/>
    <n v="97"/>
    <n v="3"/>
    <n v="291"/>
    <x v="1"/>
    <x v="2"/>
    <s v="Amazon Logistics"/>
    <x v="26"/>
    <x v="0"/>
    <m/>
    <s v="No"/>
    <s v="Toys"/>
    <s v="NA"/>
    <s v="Grace Scott"/>
    <s v="NA"/>
    <x v="1"/>
  </r>
  <r>
    <s v="ORD0029"/>
    <s v="CUST007"/>
    <s v="PROD021"/>
    <x v="1"/>
    <n v="37"/>
    <n v="3"/>
    <n v="111"/>
    <x v="0"/>
    <x v="0"/>
    <s v="DHL"/>
    <x v="27"/>
    <x v="0"/>
    <d v="2023-10-10T00:00:00"/>
    <s v="Yes"/>
    <s v="Home"/>
    <s v="NA"/>
    <s v="Liam Walker"/>
    <s v="NA"/>
    <x v="5"/>
  </r>
  <r>
    <s v="ORD0030"/>
    <s v="CUST008"/>
    <s v="PROD008"/>
    <x v="0"/>
    <n v="69"/>
    <n v="5"/>
    <n v="345"/>
    <x v="3"/>
    <x v="2"/>
    <s v="Amazon Logistics"/>
    <x v="28"/>
    <x v="0"/>
    <m/>
    <s v="No"/>
    <s v="Books"/>
    <s v="NA"/>
    <s v="Harper Young"/>
    <s v="NA"/>
    <x v="13"/>
  </r>
  <r>
    <s v="ORD0031"/>
    <s v="CUST014"/>
    <s v="PROD002"/>
    <x v="0"/>
    <n v="42"/>
    <n v="5"/>
    <n v="210"/>
    <x v="3"/>
    <x v="2"/>
    <s v="UPS"/>
    <x v="29"/>
    <x v="0"/>
    <m/>
    <s v="No"/>
    <s v="Toys"/>
    <s v="NA"/>
    <s v="Harper Young"/>
    <s v="NA"/>
    <x v="15"/>
  </r>
  <r>
    <s v="ORD0032"/>
    <s v="CUST037"/>
    <s v="PROD009"/>
    <x v="1"/>
    <n v="11"/>
    <n v="5"/>
    <n v="55"/>
    <x v="4"/>
    <x v="0"/>
    <s v="FedEx"/>
    <x v="30"/>
    <x v="0"/>
    <d v="2023-06-22T00:00:00"/>
    <s v="Yes"/>
    <s v="Books"/>
    <s v="NA"/>
    <s v="Emily Johnson"/>
    <s v="NA"/>
    <x v="17"/>
  </r>
  <r>
    <s v="ORD0033"/>
    <s v="CUST016"/>
    <s v="PROD005"/>
    <x v="2"/>
    <n v="27"/>
    <n v="2"/>
    <n v="54"/>
    <x v="0"/>
    <x v="1"/>
    <s v="USPS"/>
    <x v="31"/>
    <x v="7"/>
    <m/>
    <s v="No"/>
    <s v="Fashion"/>
    <n v="1"/>
    <s v="Elijah Lewis"/>
    <s v="Fast"/>
    <x v="11"/>
  </r>
  <r>
    <s v="ORD0034"/>
    <s v="CUST025"/>
    <s v="PROD015"/>
    <x v="2"/>
    <n v="21"/>
    <n v="1"/>
    <n v="21"/>
    <x v="3"/>
    <x v="2"/>
    <s v="DHL"/>
    <x v="32"/>
    <x v="0"/>
    <m/>
    <s v="No"/>
    <s v="Books"/>
    <s v="NA"/>
    <s v="Emma King"/>
    <s v="NA"/>
    <x v="12"/>
  </r>
  <r>
    <s v="ORD0035"/>
    <s v="CUST032"/>
    <s v="PROD011"/>
    <x v="2"/>
    <n v="172"/>
    <n v="1"/>
    <n v="172"/>
    <x v="2"/>
    <x v="1"/>
    <s v="USPS"/>
    <x v="33"/>
    <x v="8"/>
    <m/>
    <s v="No"/>
    <s v="Electronics"/>
    <n v="4"/>
    <s v="Luke Gray"/>
    <s v="Slow"/>
    <x v="18"/>
  </r>
  <r>
    <s v="ORD0036"/>
    <s v="CUST014"/>
    <s v="PROD016"/>
    <x v="0"/>
    <n v="212"/>
    <n v="3"/>
    <n v="636"/>
    <x v="3"/>
    <x v="2"/>
    <s v="UPS"/>
    <x v="34"/>
    <x v="0"/>
    <m/>
    <s v="No"/>
    <s v="Home"/>
    <s v="NA"/>
    <s v="Harper Young"/>
    <s v="NA"/>
    <x v="19"/>
  </r>
  <r>
    <s v="ORD0037"/>
    <s v="CUST044"/>
    <s v="PROD002"/>
    <x v="1"/>
    <n v="41"/>
    <n v="4"/>
    <n v="164"/>
    <x v="1"/>
    <x v="1"/>
    <s v="Amazon Logistics"/>
    <x v="35"/>
    <x v="9"/>
    <m/>
    <s v="No"/>
    <s v="Toys"/>
    <n v="5"/>
    <s v="Grace Ward"/>
    <s v="Slow"/>
    <x v="15"/>
  </r>
  <r>
    <s v="ORD0038"/>
    <s v="CUST028"/>
    <s v="PROD007"/>
    <x v="0"/>
    <n v="32"/>
    <n v="2"/>
    <n v="64"/>
    <x v="4"/>
    <x v="0"/>
    <s v="FedEx"/>
    <x v="36"/>
    <x v="0"/>
    <d v="2023-08-24T00:00:00"/>
    <s v="Yes"/>
    <s v="Toys"/>
    <s v="NA"/>
    <s v="Lily Bennett"/>
    <s v="NA"/>
    <x v="20"/>
  </r>
  <r>
    <s v="ORD0039"/>
    <s v="CUST024"/>
    <s v="PROD022"/>
    <x v="1"/>
    <n v="66"/>
    <n v="2"/>
    <n v="132"/>
    <x v="0"/>
    <x v="2"/>
    <s v="DHL"/>
    <x v="37"/>
    <x v="0"/>
    <m/>
    <s v="No"/>
    <s v="Fashion"/>
    <s v="NA"/>
    <s v="Scarlett Murphy"/>
    <s v="NA"/>
    <x v="16"/>
  </r>
  <r>
    <s v="ORD0040"/>
    <s v="CUST006"/>
    <s v="PROD004"/>
    <x v="1"/>
    <n v="62"/>
    <n v="4"/>
    <n v="248"/>
    <x v="4"/>
    <x v="2"/>
    <s v="UPS"/>
    <x v="38"/>
    <x v="0"/>
    <m/>
    <s v="No"/>
    <s v="Toys"/>
    <s v="NA"/>
    <s v="Ava Robinson"/>
    <s v="NA"/>
    <x v="21"/>
  </r>
  <r>
    <s v="ORD0041"/>
    <s v="CUST001"/>
    <s v="PROD011"/>
    <x v="4"/>
    <n v="173"/>
    <n v="4"/>
    <n v="692"/>
    <x v="0"/>
    <x v="1"/>
    <s v="UPS"/>
    <x v="39"/>
    <x v="10"/>
    <m/>
    <s v="No"/>
    <s v="Electronics"/>
    <n v="7"/>
    <s v="James Miller"/>
    <s v="Slow"/>
    <x v="18"/>
  </r>
  <r>
    <s v="ORD0042"/>
    <s v="CUST007"/>
    <s v="PROD004"/>
    <x v="4"/>
    <n v="63"/>
    <n v="3"/>
    <n v="189"/>
    <x v="0"/>
    <x v="1"/>
    <s v="UPS"/>
    <x v="40"/>
    <x v="11"/>
    <m/>
    <s v="No"/>
    <s v="Toys"/>
    <n v="2"/>
    <s v="Liam Walker"/>
    <s v="Fast"/>
    <x v="21"/>
  </r>
  <r>
    <s v="ORD0043"/>
    <s v="CUST040"/>
    <s v="PROD021"/>
    <x v="4"/>
    <n v="36"/>
    <n v="3"/>
    <n v="108"/>
    <x v="4"/>
    <x v="0"/>
    <s v="USPS"/>
    <x v="41"/>
    <x v="0"/>
    <d v="2023-02-11T00:00:00"/>
    <s v="Yes"/>
    <s v="Home"/>
    <s v="NA"/>
    <s v="Benjamin Clark"/>
    <s v="NA"/>
    <x v="5"/>
  </r>
  <r>
    <s v="ORD0044"/>
    <s v="CUST006"/>
    <s v="PROD004"/>
    <x v="3"/>
    <n v="62"/>
    <n v="1"/>
    <n v="62"/>
    <x v="0"/>
    <x v="0"/>
    <s v="Amazon Logistics"/>
    <x v="42"/>
    <x v="0"/>
    <d v="2023-12-23T00:00:00"/>
    <s v="Yes"/>
    <s v="Toys"/>
    <s v="NA"/>
    <s v="Ava Robinson"/>
    <s v="NA"/>
    <x v="21"/>
  </r>
  <r>
    <s v="ORD0045"/>
    <s v="CUST042"/>
    <s v="PROD003"/>
    <x v="3"/>
    <n v="137"/>
    <n v="5"/>
    <n v="685"/>
    <x v="3"/>
    <x v="0"/>
    <s v="FedEx"/>
    <x v="43"/>
    <x v="0"/>
    <d v="2023-06-14T00:00:00"/>
    <s v="Yes"/>
    <s v="Home"/>
    <s v="NA"/>
    <s v="Noah Wilson"/>
    <s v="NA"/>
    <x v="7"/>
  </r>
  <r>
    <s v="ORD0046"/>
    <s v="CUST039"/>
    <s v="PROD017"/>
    <x v="0"/>
    <n v="73"/>
    <n v="4"/>
    <n v="292"/>
    <x v="1"/>
    <x v="1"/>
    <s v="Amazon Logistics"/>
    <x v="44"/>
    <x v="12"/>
    <m/>
    <s v="No"/>
    <s v="Electronics"/>
    <n v="4"/>
    <s v="Logan Ramirez"/>
    <s v="Slow"/>
    <x v="10"/>
  </r>
  <r>
    <s v="ORD0047"/>
    <s v="CUST041"/>
    <s v="PROD020"/>
    <x v="0"/>
    <n v="104"/>
    <n v="1"/>
    <n v="104"/>
    <x v="2"/>
    <x v="1"/>
    <s v="Amazon Logistics"/>
    <x v="45"/>
    <x v="13"/>
    <m/>
    <s v="No"/>
    <s v="Electronics"/>
    <n v="2"/>
    <s v="Jacob Price"/>
    <s v="Fast"/>
    <x v="4"/>
  </r>
  <r>
    <s v="ORD0048"/>
    <s v="CUST044"/>
    <s v="PROD006"/>
    <x v="1"/>
    <n v="97"/>
    <n v="1"/>
    <n v="97"/>
    <x v="3"/>
    <x v="1"/>
    <s v="FedEx"/>
    <x v="46"/>
    <x v="14"/>
    <m/>
    <s v="No"/>
    <s v="Fashion"/>
    <n v="5"/>
    <s v="Grace Ward"/>
    <s v="Slow"/>
    <x v="9"/>
  </r>
  <r>
    <s v="ORD0049"/>
    <s v="CUST026"/>
    <s v="PROD017"/>
    <x v="2"/>
    <n v="73"/>
    <n v="5"/>
    <n v="365"/>
    <x v="0"/>
    <x v="2"/>
    <s v="Amazon Logistics"/>
    <x v="47"/>
    <x v="0"/>
    <m/>
    <s v="No"/>
    <s v="Electronics"/>
    <s v="NA"/>
    <s v="Zoe Mitchell"/>
    <s v="NA"/>
    <x v="10"/>
  </r>
  <r>
    <s v="ORD0050"/>
    <s v="CUST040"/>
    <s v="PROD005"/>
    <x v="1"/>
    <n v="27"/>
    <n v="3"/>
    <n v="81"/>
    <x v="3"/>
    <x v="1"/>
    <s v="UPS"/>
    <x v="48"/>
    <x v="15"/>
    <m/>
    <s v="No"/>
    <s v="Fashion"/>
    <n v="7"/>
    <s v="Benjamin Clark"/>
    <s v="Slow"/>
    <x v="11"/>
  </r>
  <r>
    <s v="ORD0051"/>
    <s v="CUST041"/>
    <s v="PROD021"/>
    <x v="0"/>
    <n v="37"/>
    <n v="1"/>
    <n v="37"/>
    <x v="0"/>
    <x v="2"/>
    <s v="UPS"/>
    <x v="20"/>
    <x v="0"/>
    <m/>
    <s v="No"/>
    <s v="Home"/>
    <s v="NA"/>
    <s v="Jacob Price"/>
    <s v="NA"/>
    <x v="5"/>
  </r>
  <r>
    <s v="ORD0052"/>
    <s v="CUST008"/>
    <s v="PROD015"/>
    <x v="0"/>
    <n v="22"/>
    <n v="1"/>
    <n v="22"/>
    <x v="4"/>
    <x v="1"/>
    <s v="FedEx"/>
    <x v="49"/>
    <x v="16"/>
    <m/>
    <s v="No"/>
    <s v="Books"/>
    <n v="2"/>
    <s v="Harper Young"/>
    <s v="Fast"/>
    <x v="12"/>
  </r>
  <r>
    <s v="ORD0053"/>
    <s v="CUST011"/>
    <s v="PROD016"/>
    <x v="3"/>
    <n v="218"/>
    <n v="5"/>
    <n v="1090"/>
    <x v="2"/>
    <x v="1"/>
    <s v="DHL"/>
    <x v="9"/>
    <x v="17"/>
    <m/>
    <s v="No"/>
    <s v="Home"/>
    <n v="3"/>
    <s v="Mason Hall"/>
    <s v="Slow"/>
    <x v="19"/>
  </r>
  <r>
    <s v="ORD0054"/>
    <s v="CUST018"/>
    <s v="PROD004"/>
    <x v="0"/>
    <n v="64"/>
    <n v="1"/>
    <n v="64"/>
    <x v="0"/>
    <x v="0"/>
    <s v="USPS"/>
    <x v="50"/>
    <x v="0"/>
    <d v="2023-03-13T00:00:00"/>
    <s v="Yes"/>
    <s v="Toys"/>
    <s v="NA"/>
    <s v="Grace Scott"/>
    <s v="NA"/>
    <x v="21"/>
  </r>
  <r>
    <s v="ORD0055"/>
    <s v="CUST037"/>
    <s v="PROD021"/>
    <x v="3"/>
    <n v="36"/>
    <n v="4"/>
    <n v="144"/>
    <x v="2"/>
    <x v="1"/>
    <s v="Amazon Logistics"/>
    <x v="4"/>
    <x v="18"/>
    <m/>
    <s v="No"/>
    <s v="Home"/>
    <n v="4"/>
    <s v="Emily Johnson"/>
    <s v="Slow"/>
    <x v="5"/>
  </r>
  <r>
    <s v="ORD0056"/>
    <s v="CUST017"/>
    <s v="PROD004"/>
    <x v="4"/>
    <n v="65"/>
    <n v="1"/>
    <n v="65"/>
    <x v="3"/>
    <x v="1"/>
    <s v="FedEx"/>
    <x v="51"/>
    <x v="6"/>
    <m/>
    <s v="No"/>
    <s v="Toys"/>
    <n v="3"/>
    <s v="Emma King"/>
    <s v="Slow"/>
    <x v="21"/>
  </r>
  <r>
    <s v="ORD0057"/>
    <s v="CUST025"/>
    <s v="PROD005"/>
    <x v="3"/>
    <n v="26"/>
    <n v="1"/>
    <n v="26"/>
    <x v="0"/>
    <x v="1"/>
    <s v="DHL"/>
    <x v="52"/>
    <x v="19"/>
    <m/>
    <s v="No"/>
    <s v="Fashion"/>
    <n v="2"/>
    <s v="Emma King"/>
    <s v="Fast"/>
    <x v="11"/>
  </r>
  <r>
    <s v="ORD0058"/>
    <s v="CUST021"/>
    <s v="PROD009"/>
    <x v="0"/>
    <n v="11"/>
    <n v="5"/>
    <n v="55"/>
    <x v="1"/>
    <x v="2"/>
    <s v="FedEx"/>
    <x v="53"/>
    <x v="0"/>
    <m/>
    <s v="No"/>
    <s v="Books"/>
    <s v="NA"/>
    <s v="Zoe Mitchell"/>
    <s v="NA"/>
    <x v="17"/>
  </r>
  <r>
    <s v="ORD0059"/>
    <s v="CUST003"/>
    <s v="PROD013"/>
    <x v="0"/>
    <n v="195"/>
    <n v="4"/>
    <n v="780"/>
    <x v="2"/>
    <x v="0"/>
    <s v="FedEx"/>
    <x v="54"/>
    <x v="0"/>
    <d v="2023-04-05T00:00:00"/>
    <s v="Yes"/>
    <s v="Home"/>
    <s v="NA"/>
    <s v="Ethan Davis"/>
    <s v="NA"/>
    <x v="2"/>
  </r>
  <r>
    <s v="ORD0060"/>
    <s v="CUST019"/>
    <s v="PROD019"/>
    <x v="4"/>
    <n v="44"/>
    <n v="5"/>
    <n v="220"/>
    <x v="0"/>
    <x v="0"/>
    <s v="USPS"/>
    <x v="2"/>
    <x v="0"/>
    <d v="2023-10-12T00:00:00"/>
    <s v="Yes"/>
    <s v="Fashion"/>
    <s v="NA"/>
    <s v="Ava Robinson"/>
    <s v="NA"/>
    <x v="6"/>
  </r>
  <r>
    <s v="ORD0061"/>
    <s v="CUST035"/>
    <s v="PROD008"/>
    <x v="1"/>
    <n v="69"/>
    <n v="4"/>
    <n v="276"/>
    <x v="4"/>
    <x v="2"/>
    <s v="DHL"/>
    <x v="55"/>
    <x v="0"/>
    <m/>
    <s v="No"/>
    <s v="Books"/>
    <s v="NA"/>
    <s v="Scarlett Adams"/>
    <s v="NA"/>
    <x v="13"/>
  </r>
  <r>
    <s v="ORD0062"/>
    <s v="CUST022"/>
    <s v="PROD001"/>
    <x v="0"/>
    <n v="815"/>
    <n v="4"/>
    <n v="3260"/>
    <x v="1"/>
    <x v="1"/>
    <s v="USPS"/>
    <x v="56"/>
    <x v="20"/>
    <m/>
    <s v="No"/>
    <s v="Electronics"/>
    <n v="7"/>
    <s v="Elijah Lewis"/>
    <s v="Slow"/>
    <x v="14"/>
  </r>
  <r>
    <s v="ORD0063"/>
    <s v="CUST004"/>
    <s v="PROD005"/>
    <x v="1"/>
    <n v="27"/>
    <n v="1"/>
    <n v="27"/>
    <x v="4"/>
    <x v="2"/>
    <s v="Amazon Logistics"/>
    <x v="57"/>
    <x v="0"/>
    <m/>
    <s v="No"/>
    <s v="Fashion"/>
    <s v="NA"/>
    <s v="Noah Wilson"/>
    <s v="NA"/>
    <x v="11"/>
  </r>
  <r>
    <s v="ORD0064"/>
    <s v="CUST048"/>
    <s v="PROD003"/>
    <x v="4"/>
    <n v="139"/>
    <n v="5"/>
    <n v="695"/>
    <x v="0"/>
    <x v="1"/>
    <s v="USPS"/>
    <x v="38"/>
    <x v="21"/>
    <m/>
    <s v="No"/>
    <s v="Home"/>
    <n v="4"/>
    <s v="Noah Wilson"/>
    <s v="Slow"/>
    <x v="7"/>
  </r>
  <r>
    <s v="ORD0065"/>
    <s v="CUST009"/>
    <s v="PROD008"/>
    <x v="2"/>
    <n v="69"/>
    <n v="3"/>
    <n v="207"/>
    <x v="2"/>
    <x v="0"/>
    <s v="Amazon Logistics"/>
    <x v="51"/>
    <x v="0"/>
    <d v="2023-10-20T00:00:00"/>
    <s v="Yes"/>
    <s v="Books"/>
    <s v="NA"/>
    <s v="Jackson Allen"/>
    <s v="NA"/>
    <x v="13"/>
  </r>
  <r>
    <s v="ORD0066"/>
    <s v="CUST009"/>
    <s v="PROD019"/>
    <x v="4"/>
    <n v="42"/>
    <n v="1"/>
    <n v="42"/>
    <x v="0"/>
    <x v="0"/>
    <s v="DHL"/>
    <x v="58"/>
    <x v="0"/>
    <d v="2023-05-21T00:00:00"/>
    <s v="Yes"/>
    <s v="Fashion"/>
    <s v="NA"/>
    <s v="Jackson Allen"/>
    <s v="NA"/>
    <x v="6"/>
  </r>
  <r>
    <s v="ORD0067"/>
    <s v="CUST050"/>
    <s v="PROD007"/>
    <x v="0"/>
    <n v="31"/>
    <n v="4"/>
    <n v="124"/>
    <x v="1"/>
    <x v="1"/>
    <s v="UPS"/>
    <x v="59"/>
    <x v="22"/>
    <m/>
    <s v="No"/>
    <s v="Toys"/>
    <n v="2"/>
    <s v="Not Found"/>
    <s v="Fast"/>
    <x v="20"/>
  </r>
  <r>
    <s v="ORD0068"/>
    <s v="CUST045"/>
    <s v="PROD020"/>
    <x v="4"/>
    <n v="104"/>
    <n v="3"/>
    <n v="312"/>
    <x v="1"/>
    <x v="2"/>
    <s v="UPS"/>
    <x v="42"/>
    <x v="0"/>
    <m/>
    <s v="No"/>
    <s v="Electronics"/>
    <s v="NA"/>
    <s v="Emily Johnson"/>
    <s v="NA"/>
    <x v="4"/>
  </r>
  <r>
    <s v="ORD0069"/>
    <s v="CUST044"/>
    <s v="PROD010"/>
    <x v="1"/>
    <n v="58"/>
    <n v="2"/>
    <n v="116"/>
    <x v="0"/>
    <x v="0"/>
    <s v="USPS"/>
    <x v="60"/>
    <x v="0"/>
    <d v="2023-07-07T00:00:00"/>
    <s v="Yes"/>
    <s v="Fashion"/>
    <s v="NA"/>
    <s v="Grace Ward"/>
    <s v="NA"/>
    <x v="3"/>
  </r>
  <r>
    <s v="ORD0070"/>
    <s v="CUST009"/>
    <s v="PROD004"/>
    <x v="4"/>
    <n v="62"/>
    <n v="2"/>
    <n v="124"/>
    <x v="4"/>
    <x v="0"/>
    <s v="DHL"/>
    <x v="26"/>
    <x v="0"/>
    <d v="2023-10-10T00:00:00"/>
    <s v="Yes"/>
    <s v="Toys"/>
    <s v="NA"/>
    <s v="Jackson Allen"/>
    <s v="NA"/>
    <x v="21"/>
  </r>
  <r>
    <s v="ORD0071"/>
    <s v="CUST006"/>
    <s v="PROD019"/>
    <x v="1"/>
    <n v="43"/>
    <n v="1"/>
    <n v="43"/>
    <x v="1"/>
    <x v="1"/>
    <s v="Amazon Logistics"/>
    <x v="42"/>
    <x v="23"/>
    <m/>
    <s v="No"/>
    <s v="Fashion"/>
    <n v="7"/>
    <s v="Ava Robinson"/>
    <s v="Slow"/>
    <x v="6"/>
  </r>
  <r>
    <s v="ORD0072"/>
    <s v="CUST022"/>
    <s v="PROD004"/>
    <x v="1"/>
    <n v="62"/>
    <n v="4"/>
    <n v="248"/>
    <x v="4"/>
    <x v="2"/>
    <s v="Amazon Logistics"/>
    <x v="61"/>
    <x v="0"/>
    <m/>
    <s v="No"/>
    <s v="Toys"/>
    <s v="NA"/>
    <s v="Elijah Lewis"/>
    <s v="NA"/>
    <x v="21"/>
  </r>
  <r>
    <s v="ORD0073"/>
    <s v="CUST028"/>
    <s v="PROD006"/>
    <x v="0"/>
    <n v="95"/>
    <n v="2"/>
    <n v="190"/>
    <x v="2"/>
    <x v="0"/>
    <s v="UPS"/>
    <x v="62"/>
    <x v="0"/>
    <d v="2023-07-25T00:00:00"/>
    <s v="Yes"/>
    <s v="Fashion"/>
    <s v="NA"/>
    <s v="Lily Bennett"/>
    <s v="NA"/>
    <x v="9"/>
  </r>
  <r>
    <s v="ORD0074"/>
    <s v="CUST016"/>
    <s v="PROD021"/>
    <x v="3"/>
    <n v="36"/>
    <n v="4"/>
    <n v="144"/>
    <x v="0"/>
    <x v="1"/>
    <s v="FedEx"/>
    <x v="63"/>
    <x v="24"/>
    <m/>
    <s v="No"/>
    <s v="Home"/>
    <n v="6"/>
    <s v="Elijah Lewis"/>
    <s v="Slow"/>
    <x v="5"/>
  </r>
  <r>
    <s v="ORD0075"/>
    <s v="CUST042"/>
    <s v="PROD017"/>
    <x v="1"/>
    <n v="73"/>
    <n v="5"/>
    <n v="365"/>
    <x v="0"/>
    <x v="2"/>
    <s v="DHL"/>
    <x v="64"/>
    <x v="0"/>
    <m/>
    <s v="No"/>
    <s v="Electronics"/>
    <s v="NA"/>
    <s v="Noah Wilson"/>
    <s v="NA"/>
    <x v="10"/>
  </r>
  <r>
    <s v="ORD0076"/>
    <s v="CUST023"/>
    <s v="PROD019"/>
    <x v="0"/>
    <n v="43"/>
    <n v="4"/>
    <n v="172"/>
    <x v="4"/>
    <x v="1"/>
    <s v="DHL"/>
    <x v="65"/>
    <x v="25"/>
    <m/>
    <s v="No"/>
    <s v="Fashion"/>
    <n v="6"/>
    <s v="Charlotte Reed"/>
    <s v="Slow"/>
    <x v="6"/>
  </r>
  <r>
    <s v="ORD0077"/>
    <s v="CUST004"/>
    <s v="PROD016"/>
    <x v="4"/>
    <n v="214"/>
    <n v="5"/>
    <n v="1070"/>
    <x v="4"/>
    <x v="1"/>
    <s v="UPS"/>
    <x v="22"/>
    <x v="26"/>
    <m/>
    <s v="No"/>
    <s v="Home"/>
    <n v="2"/>
    <s v="Noah Wilson"/>
    <s v="Fast"/>
    <x v="19"/>
  </r>
  <r>
    <s v="ORD0078"/>
    <s v="CUST048"/>
    <s v="PROD002"/>
    <x v="3"/>
    <n v="42"/>
    <n v="2"/>
    <n v="84"/>
    <x v="0"/>
    <x v="0"/>
    <s v="UPS"/>
    <x v="66"/>
    <x v="0"/>
    <d v="2023-12-06T00:00:00"/>
    <s v="Yes"/>
    <s v="Toys"/>
    <s v="NA"/>
    <s v="Noah Wilson"/>
    <s v="NA"/>
    <x v="15"/>
  </r>
  <r>
    <s v="ORD0079"/>
    <s v="CUST048"/>
    <s v="PROD012"/>
    <x v="0"/>
    <n v="46"/>
    <n v="1"/>
    <n v="46"/>
    <x v="3"/>
    <x v="2"/>
    <s v="UPS"/>
    <x v="7"/>
    <x v="0"/>
    <m/>
    <s v="No"/>
    <s v="Home"/>
    <s v="NA"/>
    <s v="Noah Wilson"/>
    <s v="NA"/>
    <x v="0"/>
  </r>
  <r>
    <s v="ORD0080"/>
    <s v="CUST032"/>
    <s v="PROD018"/>
    <x v="1"/>
    <n v="95"/>
    <n v="4"/>
    <n v="380"/>
    <x v="1"/>
    <x v="1"/>
    <s v="UPS"/>
    <x v="67"/>
    <x v="27"/>
    <m/>
    <s v="No"/>
    <s v="Toys"/>
    <n v="3"/>
    <s v="Luke Gray"/>
    <s v="Slow"/>
    <x v="1"/>
  </r>
  <r>
    <s v="ORD0081"/>
    <s v="CUST001"/>
    <s v="PROD011"/>
    <x v="4"/>
    <n v="174"/>
    <n v="2"/>
    <n v="348"/>
    <x v="2"/>
    <x v="2"/>
    <s v="UPS"/>
    <x v="68"/>
    <x v="0"/>
    <m/>
    <s v="No"/>
    <s v="Electronics"/>
    <s v="NA"/>
    <s v="James Miller"/>
    <s v="NA"/>
    <x v="18"/>
  </r>
  <r>
    <s v="ORD0082"/>
    <s v="CUST046"/>
    <s v="PROD005"/>
    <x v="0"/>
    <n v="27"/>
    <n v="5"/>
    <n v="135"/>
    <x v="1"/>
    <x v="0"/>
    <s v="Amazon Logistics"/>
    <x v="30"/>
    <x v="0"/>
    <d v="2023-06-18T00:00:00"/>
    <s v="Yes"/>
    <s v="Fashion"/>
    <s v="NA"/>
    <s v="Emily Johnson"/>
    <s v="NA"/>
    <x v="11"/>
  </r>
  <r>
    <s v="ORD0083"/>
    <s v="CUST021"/>
    <s v="PROD005"/>
    <x v="2"/>
    <n v="27"/>
    <n v="4"/>
    <n v="108"/>
    <x v="2"/>
    <x v="1"/>
    <s v="USPS"/>
    <x v="69"/>
    <x v="28"/>
    <m/>
    <s v="No"/>
    <s v="Fashion"/>
    <n v="2"/>
    <s v="Zoe Mitchell"/>
    <s v="Fast"/>
    <x v="11"/>
  </r>
  <r>
    <s v="ORD0084"/>
    <s v="CUST015"/>
    <s v="PROD022"/>
    <x v="2"/>
    <n v="65"/>
    <n v="2"/>
    <n v="130"/>
    <x v="2"/>
    <x v="2"/>
    <s v="DHL"/>
    <x v="33"/>
    <x v="0"/>
    <m/>
    <s v="No"/>
    <s v="Fashion"/>
    <s v="NA"/>
    <s v="Ava White"/>
    <s v="NA"/>
    <x v="16"/>
  </r>
  <r>
    <s v="ORD0085"/>
    <s v="CUST045"/>
    <s v="PROD019"/>
    <x v="1"/>
    <n v="43"/>
    <n v="5"/>
    <n v="215"/>
    <x v="4"/>
    <x v="2"/>
    <s v="DHL"/>
    <x v="61"/>
    <x v="0"/>
    <m/>
    <s v="No"/>
    <s v="Fashion"/>
    <s v="NA"/>
    <s v="Emily Johnson"/>
    <s v="NA"/>
    <x v="6"/>
  </r>
  <r>
    <s v="ORD0086"/>
    <s v="CUST007"/>
    <s v="PROD016"/>
    <x v="4"/>
    <n v="210"/>
    <n v="1"/>
    <n v="210"/>
    <x v="2"/>
    <x v="2"/>
    <s v="UPS"/>
    <x v="70"/>
    <x v="0"/>
    <m/>
    <s v="No"/>
    <s v="Home"/>
    <s v="NA"/>
    <s v="Liam Walker"/>
    <s v="NA"/>
    <x v="19"/>
  </r>
  <r>
    <s v="ORD0087"/>
    <s v="CUST043"/>
    <s v="PROD021"/>
    <x v="2"/>
    <n v="37"/>
    <n v="3"/>
    <n v="111"/>
    <x v="1"/>
    <x v="2"/>
    <s v="UPS"/>
    <x v="56"/>
    <x v="0"/>
    <m/>
    <s v="No"/>
    <s v="Home"/>
    <s v="NA"/>
    <s v="Lily Reed"/>
    <s v="NA"/>
    <x v="5"/>
  </r>
  <r>
    <s v="ORD0088"/>
    <s v="CUST007"/>
    <s v="PROD001"/>
    <x v="2"/>
    <n v="788"/>
    <n v="4"/>
    <n v="3152"/>
    <x v="4"/>
    <x v="2"/>
    <s v="Amazon Logistics"/>
    <x v="53"/>
    <x v="0"/>
    <m/>
    <s v="No"/>
    <s v="Electronics"/>
    <s v="NA"/>
    <s v="Liam Walker"/>
    <s v="NA"/>
    <x v="14"/>
  </r>
  <r>
    <s v="ORD0089"/>
    <s v="CUST007"/>
    <s v="PROD016"/>
    <x v="4"/>
    <n v="217"/>
    <n v="5"/>
    <n v="1085"/>
    <x v="4"/>
    <x v="2"/>
    <s v="FedEx"/>
    <x v="71"/>
    <x v="0"/>
    <m/>
    <s v="No"/>
    <s v="Home"/>
    <s v="NA"/>
    <s v="Liam Walker"/>
    <s v="NA"/>
    <x v="19"/>
  </r>
  <r>
    <s v="ORD0090"/>
    <s v="CUST007"/>
    <s v="PROD003"/>
    <x v="4"/>
    <n v="138"/>
    <n v="4"/>
    <n v="552"/>
    <x v="1"/>
    <x v="2"/>
    <s v="FedEx"/>
    <x v="63"/>
    <x v="0"/>
    <m/>
    <s v="No"/>
    <s v="Home"/>
    <s v="NA"/>
    <s v="Liam Walker"/>
    <s v="NA"/>
    <x v="7"/>
  </r>
  <r>
    <s v="ORD0091"/>
    <s v="CUST031"/>
    <s v="PROD001"/>
    <x v="3"/>
    <n v="803"/>
    <n v="2"/>
    <n v="1606"/>
    <x v="0"/>
    <x v="1"/>
    <s v="FedEx"/>
    <x v="72"/>
    <x v="29"/>
    <m/>
    <s v="No"/>
    <s v="Electronics"/>
    <n v="6"/>
    <s v="Mason Collins"/>
    <s v="Slow"/>
    <x v="14"/>
  </r>
  <r>
    <s v="ORD0092"/>
    <s v="CUST013"/>
    <s v="PROD014"/>
    <x v="0"/>
    <n v="248"/>
    <n v="5"/>
    <n v="1240"/>
    <x v="2"/>
    <x v="0"/>
    <s v="UPS"/>
    <x v="73"/>
    <x v="0"/>
    <d v="2023-02-25T00:00:00"/>
    <s v="Yes"/>
    <s v="Electronics"/>
    <s v="NA"/>
    <s v="Olivia Martinez"/>
    <s v="NA"/>
    <x v="8"/>
  </r>
  <r>
    <s v="ORD0093"/>
    <s v="CUST036"/>
    <s v="PROD016"/>
    <x v="1"/>
    <n v="210"/>
    <n v="3"/>
    <n v="630"/>
    <x v="0"/>
    <x v="1"/>
    <s v="DHL"/>
    <x v="74"/>
    <x v="30"/>
    <m/>
    <s v="No"/>
    <s v="Home"/>
    <n v="2"/>
    <s v="Ethan Davis"/>
    <s v="Fast"/>
    <x v="19"/>
  </r>
  <r>
    <s v="ORD0094"/>
    <s v="CUST013"/>
    <s v="PROD004"/>
    <x v="0"/>
    <n v="62"/>
    <n v="2"/>
    <n v="124"/>
    <x v="1"/>
    <x v="0"/>
    <s v="FedEx"/>
    <x v="75"/>
    <x v="0"/>
    <d v="2023-12-12T00:00:00"/>
    <s v="Yes"/>
    <s v="Toys"/>
    <s v="NA"/>
    <s v="Olivia Martinez"/>
    <s v="NA"/>
    <x v="21"/>
  </r>
  <r>
    <s v="ORD0095"/>
    <s v="CUST043"/>
    <s v="PROD009"/>
    <x v="2"/>
    <n v="11"/>
    <n v="5"/>
    <n v="55"/>
    <x v="4"/>
    <x v="0"/>
    <s v="Amazon Logistics"/>
    <x v="76"/>
    <x v="0"/>
    <d v="2023-06-12T00:00:00"/>
    <s v="Yes"/>
    <s v="Books"/>
    <s v="NA"/>
    <s v="Lily Reed"/>
    <s v="NA"/>
    <x v="17"/>
  </r>
  <r>
    <s v="ORD0096"/>
    <s v="CUST017"/>
    <s v="PROD015"/>
    <x v="0"/>
    <n v="21"/>
    <n v="2"/>
    <n v="42"/>
    <x v="3"/>
    <x v="1"/>
    <s v="UPS"/>
    <x v="77"/>
    <x v="31"/>
    <m/>
    <s v="No"/>
    <s v="Books"/>
    <n v="3"/>
    <s v="Emma King"/>
    <s v="Slow"/>
    <x v="12"/>
  </r>
  <r>
    <s v="ORD0097"/>
    <s v="CUST023"/>
    <s v="PROD018"/>
    <x v="4"/>
    <n v="95"/>
    <n v="5"/>
    <n v="475"/>
    <x v="3"/>
    <x v="1"/>
    <s v="Amazon Logistics"/>
    <x v="78"/>
    <x v="8"/>
    <m/>
    <s v="No"/>
    <s v="Toys"/>
    <n v="3"/>
    <s v="Charlotte Reed"/>
    <s v="Slow"/>
    <x v="1"/>
  </r>
  <r>
    <s v="ORD0098"/>
    <s v="CUST044"/>
    <s v="PROD016"/>
    <x v="2"/>
    <n v="215"/>
    <n v="2"/>
    <n v="430"/>
    <x v="2"/>
    <x v="1"/>
    <s v="Amazon Logistics"/>
    <x v="79"/>
    <x v="10"/>
    <m/>
    <s v="No"/>
    <s v="Home"/>
    <n v="5"/>
    <s v="Grace Ward"/>
    <s v="Slow"/>
    <x v="19"/>
  </r>
  <r>
    <s v="ORD0099"/>
    <s v="CUST034"/>
    <s v="PROD019"/>
    <x v="4"/>
    <n v="43"/>
    <n v="5"/>
    <n v="215"/>
    <x v="1"/>
    <x v="0"/>
    <s v="UPS"/>
    <x v="63"/>
    <x v="0"/>
    <d v="2023-01-24T00:00:00"/>
    <s v="Yes"/>
    <s v="Fashion"/>
    <s v="NA"/>
    <s v="Lily Simmons"/>
    <s v="NA"/>
    <x v="6"/>
  </r>
  <r>
    <s v="ORD0100"/>
    <s v="CUST009"/>
    <s v="PROD002"/>
    <x v="4"/>
    <n v="42"/>
    <n v="4"/>
    <n v="168"/>
    <x v="4"/>
    <x v="2"/>
    <s v="DHL"/>
    <x v="80"/>
    <x v="0"/>
    <m/>
    <s v="No"/>
    <s v="Toys"/>
    <s v="NA"/>
    <s v="Jackson Allen"/>
    <s v="NA"/>
    <x v="1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s v="CUST021"/>
    <s v="PROD012"/>
    <x v="0"/>
    <n v="44"/>
    <n v="1"/>
    <n v="44"/>
    <x v="0"/>
    <x v="0"/>
    <s v="DHL"/>
    <x v="0"/>
    <x v="0"/>
    <d v="2024-01-02T00:00:00"/>
    <x v="0"/>
    <x v="0"/>
    <s v="NA"/>
    <s v="Zoe Mitchell"/>
    <x v="0"/>
  </r>
  <r>
    <s v="ORD0002"/>
    <s v="CUST029"/>
    <s v="PROD018"/>
    <x v="1"/>
    <n v="96"/>
    <n v="4"/>
    <n v="384"/>
    <x v="1"/>
    <x v="1"/>
    <s v="DHL"/>
    <x v="1"/>
    <x v="1"/>
    <m/>
    <x v="1"/>
    <x v="1"/>
    <n v="2"/>
    <s v="Ava White"/>
    <x v="1"/>
  </r>
  <r>
    <s v="ORD0003"/>
    <s v="CUST021"/>
    <s v="PROD013"/>
    <x v="2"/>
    <n v="194"/>
    <n v="4"/>
    <n v="776"/>
    <x v="1"/>
    <x v="2"/>
    <s v="USPS"/>
    <x v="2"/>
    <x v="0"/>
    <m/>
    <x v="1"/>
    <x v="0"/>
    <s v="NA"/>
    <s v="Zoe Mitchell"/>
    <x v="0"/>
  </r>
  <r>
    <s v="ORD0004"/>
    <s v="CUST044"/>
    <s v="PROD013"/>
    <x v="0"/>
    <n v="196"/>
    <n v="3"/>
    <n v="588"/>
    <x v="2"/>
    <x v="0"/>
    <s v="UPS"/>
    <x v="3"/>
    <x v="0"/>
    <d v="2023-05-11T00:00:00"/>
    <x v="0"/>
    <x v="0"/>
    <s v="NA"/>
    <s v="Grace Ward"/>
    <x v="0"/>
  </r>
  <r>
    <s v="ORD0005"/>
    <s v="CUST027"/>
    <s v="PROD010"/>
    <x v="0"/>
    <n v="59"/>
    <n v="1"/>
    <n v="59"/>
    <x v="2"/>
    <x v="1"/>
    <s v="Amazon Logistics"/>
    <x v="4"/>
    <x v="2"/>
    <m/>
    <x v="1"/>
    <x v="2"/>
    <n v="3"/>
    <s v="Hazel Brooks"/>
    <x v="2"/>
  </r>
  <r>
    <s v="ORD0006"/>
    <s v="CUST009"/>
    <s v="PROD010"/>
    <x v="0"/>
    <n v="58"/>
    <n v="4"/>
    <n v="232"/>
    <x v="3"/>
    <x v="0"/>
    <s v="DHL"/>
    <x v="5"/>
    <x v="0"/>
    <d v="2023-11-02T00:00:00"/>
    <x v="0"/>
    <x v="2"/>
    <s v="NA"/>
    <s v="Jackson Allen"/>
    <x v="0"/>
  </r>
  <r>
    <s v="ORD0007"/>
    <s v="CUST042"/>
    <s v="PROD020"/>
    <x v="3"/>
    <n v="105"/>
    <n v="3"/>
    <n v="315"/>
    <x v="4"/>
    <x v="0"/>
    <s v="DHL"/>
    <x v="6"/>
    <x v="0"/>
    <d v="2023-08-18T00:00:00"/>
    <x v="0"/>
    <x v="3"/>
    <s v="NA"/>
    <s v="Noah Wilson"/>
    <x v="0"/>
  </r>
  <r>
    <s v="ORD0008"/>
    <s v="CUST019"/>
    <s v="PROD021"/>
    <x v="4"/>
    <n v="37"/>
    <n v="5"/>
    <n v="185"/>
    <x v="2"/>
    <x v="0"/>
    <s v="DHL"/>
    <x v="7"/>
    <x v="0"/>
    <d v="2023-04-06T00:00:00"/>
    <x v="0"/>
    <x v="0"/>
    <s v="NA"/>
    <s v="Ava Robinson"/>
    <x v="0"/>
  </r>
  <r>
    <s v="ORD0009"/>
    <s v="CUST013"/>
    <s v="PROD019"/>
    <x v="3"/>
    <n v="44"/>
    <n v="2"/>
    <n v="88"/>
    <x v="1"/>
    <x v="2"/>
    <s v="Amazon Logistics"/>
    <x v="8"/>
    <x v="0"/>
    <m/>
    <x v="1"/>
    <x v="2"/>
    <s v="NA"/>
    <s v="Olivia Martinez"/>
    <x v="0"/>
  </r>
  <r>
    <s v="ORD0010"/>
    <s v="CUST019"/>
    <s v="PROD003"/>
    <x v="2"/>
    <n v="141"/>
    <n v="4"/>
    <n v="564"/>
    <x v="4"/>
    <x v="2"/>
    <s v="DHL"/>
    <x v="9"/>
    <x v="0"/>
    <m/>
    <x v="1"/>
    <x v="0"/>
    <s v="NA"/>
    <s v="Ava Robinson"/>
    <x v="0"/>
  </r>
  <r>
    <s v="ORD0011"/>
    <s v="CUST046"/>
    <s v="PROD014"/>
    <x v="2"/>
    <n v="249"/>
    <n v="1"/>
    <n v="249"/>
    <x v="3"/>
    <x v="0"/>
    <s v="USPS"/>
    <x v="10"/>
    <x v="0"/>
    <d v="2023-05-08T00:00:00"/>
    <x v="0"/>
    <x v="3"/>
    <s v="NA"/>
    <s v="Emily Johnson"/>
    <x v="0"/>
  </r>
  <r>
    <s v="ORD0012"/>
    <s v="CUST045"/>
    <s v="PROD014"/>
    <x v="3"/>
    <n v="247"/>
    <n v="3"/>
    <n v="741"/>
    <x v="3"/>
    <x v="2"/>
    <s v="FedEx"/>
    <x v="11"/>
    <x v="0"/>
    <m/>
    <x v="1"/>
    <x v="3"/>
    <s v="NA"/>
    <s v="Emily Johnson"/>
    <x v="0"/>
  </r>
  <r>
    <s v="ORD0013"/>
    <s v="CUST023"/>
    <s v="PROD006"/>
    <x v="3"/>
    <n v="96"/>
    <n v="1"/>
    <n v="96"/>
    <x v="0"/>
    <x v="0"/>
    <s v="Amazon Logistics"/>
    <x v="12"/>
    <x v="0"/>
    <d v="2023-02-28T00:00:00"/>
    <x v="0"/>
    <x v="2"/>
    <s v="NA"/>
    <s v="Charlotte Reed"/>
    <x v="0"/>
  </r>
  <r>
    <s v="ORD0014"/>
    <s v="CUST033"/>
    <s v="PROD017"/>
    <x v="4"/>
    <n v="74"/>
    <n v="5"/>
    <n v="370"/>
    <x v="0"/>
    <x v="0"/>
    <s v="Amazon Logistics"/>
    <x v="13"/>
    <x v="0"/>
    <d v="2023-02-25T00:00:00"/>
    <x v="0"/>
    <x v="3"/>
    <s v="NA"/>
    <s v="Hazel Rivera"/>
    <x v="0"/>
  </r>
  <r>
    <s v="ORD0015"/>
    <s v="CUST033"/>
    <s v="PROD005"/>
    <x v="2"/>
    <n v="27"/>
    <n v="1"/>
    <n v="27"/>
    <x v="1"/>
    <x v="0"/>
    <s v="Amazon Logistics"/>
    <x v="14"/>
    <x v="0"/>
    <d v="2023-09-02T00:00:00"/>
    <x v="0"/>
    <x v="2"/>
    <s v="NA"/>
    <s v="Hazel Rivera"/>
    <x v="0"/>
  </r>
  <r>
    <s v="ORD0016"/>
    <s v="CUST047"/>
    <s v="PROD005"/>
    <x v="2"/>
    <n v="27"/>
    <n v="3"/>
    <n v="81"/>
    <x v="4"/>
    <x v="2"/>
    <s v="Amazon Logistics"/>
    <x v="15"/>
    <x v="0"/>
    <m/>
    <x v="1"/>
    <x v="2"/>
    <s v="NA"/>
    <s v="Scarlett Murphy"/>
    <x v="0"/>
  </r>
  <r>
    <s v="ORD0017"/>
    <s v="CUST045"/>
    <s v="PROD015"/>
    <x v="1"/>
    <n v="21"/>
    <n v="3"/>
    <n v="63"/>
    <x v="1"/>
    <x v="1"/>
    <s v="DHL"/>
    <x v="16"/>
    <x v="3"/>
    <m/>
    <x v="1"/>
    <x v="4"/>
    <n v="3"/>
    <s v="Emily Johnson"/>
    <x v="2"/>
  </r>
  <r>
    <s v="ORD0018"/>
    <s v="CUST011"/>
    <s v="PROD008"/>
    <x v="4"/>
    <n v="70"/>
    <n v="5"/>
    <n v="350"/>
    <x v="2"/>
    <x v="2"/>
    <s v="Amazon Logistics"/>
    <x v="17"/>
    <x v="0"/>
    <m/>
    <x v="1"/>
    <x v="4"/>
    <s v="NA"/>
    <s v="Mason Hall"/>
    <x v="0"/>
  </r>
  <r>
    <s v="ORD0019"/>
    <s v="CUST041"/>
    <s v="PROD006"/>
    <x v="2"/>
    <n v="94"/>
    <n v="4"/>
    <n v="376"/>
    <x v="1"/>
    <x v="2"/>
    <s v="USPS"/>
    <x v="18"/>
    <x v="0"/>
    <m/>
    <x v="1"/>
    <x v="2"/>
    <s v="NA"/>
    <s v="Jacob Price"/>
    <x v="0"/>
  </r>
  <r>
    <s v="ORD0020"/>
    <s v="CUST025"/>
    <s v="PROD001"/>
    <x v="0"/>
    <n v="813"/>
    <n v="2"/>
    <n v="1626"/>
    <x v="1"/>
    <x v="2"/>
    <s v="FedEx"/>
    <x v="19"/>
    <x v="0"/>
    <m/>
    <x v="1"/>
    <x v="3"/>
    <s v="NA"/>
    <s v="Emma King"/>
    <x v="0"/>
  </r>
  <r>
    <s v="ORD0021"/>
    <s v="CUST013"/>
    <s v="PROD015"/>
    <x v="3"/>
    <n v="21"/>
    <n v="4"/>
    <n v="84"/>
    <x v="2"/>
    <x v="2"/>
    <s v="Amazon Logistics"/>
    <x v="20"/>
    <x v="0"/>
    <m/>
    <x v="1"/>
    <x v="4"/>
    <s v="NA"/>
    <s v="Olivia Martinez"/>
    <x v="0"/>
  </r>
  <r>
    <s v="ORD0022"/>
    <s v="CUST023"/>
    <s v="PROD012"/>
    <x v="4"/>
    <n v="46"/>
    <n v="5"/>
    <n v="230"/>
    <x v="2"/>
    <x v="2"/>
    <s v="USPS"/>
    <x v="21"/>
    <x v="0"/>
    <m/>
    <x v="1"/>
    <x v="0"/>
    <s v="NA"/>
    <s v="Charlotte Reed"/>
    <x v="0"/>
  </r>
  <r>
    <s v="ORD0023"/>
    <s v="CUST016"/>
    <s v="PROD010"/>
    <x v="4"/>
    <n v="58"/>
    <n v="3"/>
    <n v="174"/>
    <x v="3"/>
    <x v="0"/>
    <s v="Amazon Logistics"/>
    <x v="15"/>
    <x v="0"/>
    <d v="2023-02-14T00:00:00"/>
    <x v="0"/>
    <x v="2"/>
    <s v="NA"/>
    <s v="Elijah Lewis"/>
    <x v="0"/>
  </r>
  <r>
    <s v="ORD0024"/>
    <s v="CUST028"/>
    <s v="PROD006"/>
    <x v="4"/>
    <n v="96"/>
    <n v="5"/>
    <n v="480"/>
    <x v="3"/>
    <x v="1"/>
    <s v="Amazon Logistics"/>
    <x v="22"/>
    <x v="4"/>
    <m/>
    <x v="1"/>
    <x v="2"/>
    <n v="3"/>
    <s v="Lily Bennett"/>
    <x v="2"/>
  </r>
  <r>
    <s v="ORD0025"/>
    <s v="CUST040"/>
    <s v="PROD002"/>
    <x v="2"/>
    <n v="43"/>
    <n v="1"/>
    <n v="43"/>
    <x v="4"/>
    <x v="1"/>
    <s v="Amazon Logistics"/>
    <x v="23"/>
    <x v="5"/>
    <m/>
    <x v="1"/>
    <x v="1"/>
    <n v="2"/>
    <s v="Benjamin Clark"/>
    <x v="1"/>
  </r>
  <r>
    <s v="ORD0026"/>
    <s v="CUST027"/>
    <s v="PROD022"/>
    <x v="2"/>
    <n v="64"/>
    <n v="4"/>
    <n v="256"/>
    <x v="4"/>
    <x v="1"/>
    <s v="USPS"/>
    <x v="24"/>
    <x v="6"/>
    <m/>
    <x v="1"/>
    <x v="2"/>
    <n v="6"/>
    <s v="Hazel Brooks"/>
    <x v="2"/>
  </r>
  <r>
    <s v="ORD0027"/>
    <s v="CUST018"/>
    <s v="PROD008"/>
    <x v="2"/>
    <n v="70"/>
    <n v="2"/>
    <n v="140"/>
    <x v="3"/>
    <x v="2"/>
    <s v="Amazon Logistics"/>
    <x v="25"/>
    <x v="0"/>
    <m/>
    <x v="1"/>
    <x v="4"/>
    <s v="NA"/>
    <s v="Grace Scott"/>
    <x v="0"/>
  </r>
  <r>
    <s v="ORD0028"/>
    <s v="CUST018"/>
    <s v="PROD018"/>
    <x v="3"/>
    <n v="97"/>
    <n v="3"/>
    <n v="291"/>
    <x v="1"/>
    <x v="2"/>
    <s v="Amazon Logistics"/>
    <x v="26"/>
    <x v="0"/>
    <m/>
    <x v="1"/>
    <x v="1"/>
    <s v="NA"/>
    <s v="Grace Scott"/>
    <x v="0"/>
  </r>
  <r>
    <s v="ORD0029"/>
    <s v="CUST007"/>
    <s v="PROD021"/>
    <x v="1"/>
    <n v="37"/>
    <n v="3"/>
    <n v="111"/>
    <x v="0"/>
    <x v="0"/>
    <s v="DHL"/>
    <x v="27"/>
    <x v="0"/>
    <d v="2023-10-10T00:00:00"/>
    <x v="0"/>
    <x v="0"/>
    <s v="NA"/>
    <s v="Liam Walker"/>
    <x v="0"/>
  </r>
  <r>
    <s v="ORD0030"/>
    <s v="CUST008"/>
    <s v="PROD008"/>
    <x v="0"/>
    <n v="69"/>
    <n v="5"/>
    <n v="345"/>
    <x v="3"/>
    <x v="2"/>
    <s v="Amazon Logistics"/>
    <x v="28"/>
    <x v="0"/>
    <m/>
    <x v="1"/>
    <x v="4"/>
    <s v="NA"/>
    <s v="Harper Young"/>
    <x v="0"/>
  </r>
  <r>
    <s v="ORD0031"/>
    <s v="CUST014"/>
    <s v="PROD002"/>
    <x v="0"/>
    <n v="42"/>
    <n v="5"/>
    <n v="210"/>
    <x v="3"/>
    <x v="2"/>
    <s v="UPS"/>
    <x v="29"/>
    <x v="0"/>
    <m/>
    <x v="1"/>
    <x v="1"/>
    <s v="NA"/>
    <s v="Harper Young"/>
    <x v="0"/>
  </r>
  <r>
    <s v="ORD0032"/>
    <s v="CUST037"/>
    <s v="PROD009"/>
    <x v="1"/>
    <n v="11"/>
    <n v="5"/>
    <n v="55"/>
    <x v="4"/>
    <x v="0"/>
    <s v="FedEx"/>
    <x v="30"/>
    <x v="0"/>
    <d v="2023-06-22T00:00:00"/>
    <x v="0"/>
    <x v="4"/>
    <s v="NA"/>
    <s v="Emily Johnson"/>
    <x v="0"/>
  </r>
  <r>
    <s v="ORD0033"/>
    <s v="CUST016"/>
    <s v="PROD005"/>
    <x v="2"/>
    <n v="27"/>
    <n v="2"/>
    <n v="54"/>
    <x v="0"/>
    <x v="1"/>
    <s v="USPS"/>
    <x v="31"/>
    <x v="7"/>
    <m/>
    <x v="1"/>
    <x v="2"/>
    <n v="1"/>
    <s v="Elijah Lewis"/>
    <x v="1"/>
  </r>
  <r>
    <s v="ORD0034"/>
    <s v="CUST025"/>
    <s v="PROD015"/>
    <x v="2"/>
    <n v="21"/>
    <n v="1"/>
    <n v="21"/>
    <x v="3"/>
    <x v="2"/>
    <s v="DHL"/>
    <x v="32"/>
    <x v="0"/>
    <m/>
    <x v="1"/>
    <x v="4"/>
    <s v="NA"/>
    <s v="Emma King"/>
    <x v="0"/>
  </r>
  <r>
    <s v="ORD0035"/>
    <s v="CUST032"/>
    <s v="PROD011"/>
    <x v="2"/>
    <n v="172"/>
    <n v="1"/>
    <n v="172"/>
    <x v="2"/>
    <x v="1"/>
    <s v="USPS"/>
    <x v="33"/>
    <x v="8"/>
    <m/>
    <x v="1"/>
    <x v="3"/>
    <n v="4"/>
    <s v="Luke Gray"/>
    <x v="2"/>
  </r>
  <r>
    <s v="ORD0036"/>
    <s v="CUST014"/>
    <s v="PROD016"/>
    <x v="0"/>
    <n v="212"/>
    <n v="3"/>
    <n v="636"/>
    <x v="3"/>
    <x v="2"/>
    <s v="UPS"/>
    <x v="34"/>
    <x v="0"/>
    <m/>
    <x v="1"/>
    <x v="0"/>
    <s v="NA"/>
    <s v="Harper Young"/>
    <x v="0"/>
  </r>
  <r>
    <s v="ORD0037"/>
    <s v="CUST044"/>
    <s v="PROD002"/>
    <x v="1"/>
    <n v="41"/>
    <n v="4"/>
    <n v="164"/>
    <x v="1"/>
    <x v="1"/>
    <s v="Amazon Logistics"/>
    <x v="35"/>
    <x v="9"/>
    <m/>
    <x v="1"/>
    <x v="1"/>
    <n v="5"/>
    <s v="Grace Ward"/>
    <x v="2"/>
  </r>
  <r>
    <s v="ORD0038"/>
    <s v="CUST028"/>
    <s v="PROD007"/>
    <x v="0"/>
    <n v="32"/>
    <n v="2"/>
    <n v="64"/>
    <x v="4"/>
    <x v="0"/>
    <s v="FedEx"/>
    <x v="36"/>
    <x v="0"/>
    <d v="2023-08-24T00:00:00"/>
    <x v="0"/>
    <x v="1"/>
    <s v="NA"/>
    <s v="Lily Bennett"/>
    <x v="0"/>
  </r>
  <r>
    <s v="ORD0039"/>
    <s v="CUST024"/>
    <s v="PROD022"/>
    <x v="1"/>
    <n v="66"/>
    <n v="2"/>
    <n v="132"/>
    <x v="0"/>
    <x v="2"/>
    <s v="DHL"/>
    <x v="37"/>
    <x v="0"/>
    <m/>
    <x v="1"/>
    <x v="2"/>
    <s v="NA"/>
    <s v="Scarlett Murphy"/>
    <x v="0"/>
  </r>
  <r>
    <s v="ORD0040"/>
    <s v="CUST006"/>
    <s v="PROD004"/>
    <x v="1"/>
    <n v="62"/>
    <n v="4"/>
    <n v="248"/>
    <x v="4"/>
    <x v="2"/>
    <s v="UPS"/>
    <x v="38"/>
    <x v="0"/>
    <m/>
    <x v="1"/>
    <x v="1"/>
    <s v="NA"/>
    <s v="Ava Robinson"/>
    <x v="0"/>
  </r>
  <r>
    <s v="ORD0041"/>
    <s v="CUST001"/>
    <s v="PROD011"/>
    <x v="4"/>
    <n v="173"/>
    <n v="4"/>
    <n v="692"/>
    <x v="0"/>
    <x v="1"/>
    <s v="UPS"/>
    <x v="39"/>
    <x v="10"/>
    <m/>
    <x v="1"/>
    <x v="3"/>
    <n v="7"/>
    <s v="James Miller"/>
    <x v="2"/>
  </r>
  <r>
    <s v="ORD0042"/>
    <s v="CUST007"/>
    <s v="PROD004"/>
    <x v="4"/>
    <n v="63"/>
    <n v="3"/>
    <n v="189"/>
    <x v="0"/>
    <x v="1"/>
    <s v="UPS"/>
    <x v="40"/>
    <x v="11"/>
    <m/>
    <x v="1"/>
    <x v="1"/>
    <n v="2"/>
    <s v="Liam Walker"/>
    <x v="1"/>
  </r>
  <r>
    <s v="ORD0043"/>
    <s v="CUST040"/>
    <s v="PROD021"/>
    <x v="4"/>
    <n v="36"/>
    <n v="3"/>
    <n v="108"/>
    <x v="4"/>
    <x v="0"/>
    <s v="USPS"/>
    <x v="41"/>
    <x v="0"/>
    <d v="2023-02-11T00:00:00"/>
    <x v="0"/>
    <x v="0"/>
    <s v="NA"/>
    <s v="Benjamin Clark"/>
    <x v="0"/>
  </r>
  <r>
    <s v="ORD0044"/>
    <s v="CUST006"/>
    <s v="PROD004"/>
    <x v="3"/>
    <n v="62"/>
    <n v="1"/>
    <n v="62"/>
    <x v="0"/>
    <x v="0"/>
    <s v="Amazon Logistics"/>
    <x v="42"/>
    <x v="0"/>
    <d v="2023-12-23T00:00:00"/>
    <x v="0"/>
    <x v="1"/>
    <s v="NA"/>
    <s v="Ava Robinson"/>
    <x v="0"/>
  </r>
  <r>
    <s v="ORD0045"/>
    <s v="CUST042"/>
    <s v="PROD003"/>
    <x v="3"/>
    <n v="137"/>
    <n v="5"/>
    <n v="685"/>
    <x v="3"/>
    <x v="0"/>
    <s v="FedEx"/>
    <x v="43"/>
    <x v="0"/>
    <d v="2023-06-14T00:00:00"/>
    <x v="0"/>
    <x v="0"/>
    <s v="NA"/>
    <s v="Noah Wilson"/>
    <x v="0"/>
  </r>
  <r>
    <s v="ORD0046"/>
    <s v="CUST039"/>
    <s v="PROD017"/>
    <x v="0"/>
    <n v="73"/>
    <n v="4"/>
    <n v="292"/>
    <x v="1"/>
    <x v="1"/>
    <s v="Amazon Logistics"/>
    <x v="44"/>
    <x v="12"/>
    <m/>
    <x v="1"/>
    <x v="3"/>
    <n v="4"/>
    <s v="Logan Ramirez"/>
    <x v="2"/>
  </r>
  <r>
    <s v="ORD0047"/>
    <s v="CUST041"/>
    <s v="PROD020"/>
    <x v="0"/>
    <n v="104"/>
    <n v="1"/>
    <n v="104"/>
    <x v="2"/>
    <x v="1"/>
    <s v="Amazon Logistics"/>
    <x v="45"/>
    <x v="13"/>
    <m/>
    <x v="1"/>
    <x v="3"/>
    <n v="2"/>
    <s v="Jacob Price"/>
    <x v="1"/>
  </r>
  <r>
    <s v="ORD0048"/>
    <s v="CUST044"/>
    <s v="PROD006"/>
    <x v="1"/>
    <n v="97"/>
    <n v="1"/>
    <n v="97"/>
    <x v="3"/>
    <x v="1"/>
    <s v="FedEx"/>
    <x v="46"/>
    <x v="14"/>
    <m/>
    <x v="1"/>
    <x v="2"/>
    <n v="5"/>
    <s v="Grace Ward"/>
    <x v="2"/>
  </r>
  <r>
    <s v="ORD0049"/>
    <s v="CUST026"/>
    <s v="PROD017"/>
    <x v="2"/>
    <n v="73"/>
    <n v="5"/>
    <n v="365"/>
    <x v="0"/>
    <x v="2"/>
    <s v="Amazon Logistics"/>
    <x v="47"/>
    <x v="0"/>
    <m/>
    <x v="1"/>
    <x v="3"/>
    <s v="NA"/>
    <s v="Zoe Mitchell"/>
    <x v="0"/>
  </r>
  <r>
    <s v="ORD0050"/>
    <s v="CUST040"/>
    <s v="PROD005"/>
    <x v="1"/>
    <n v="27"/>
    <n v="3"/>
    <n v="81"/>
    <x v="3"/>
    <x v="1"/>
    <s v="UPS"/>
    <x v="48"/>
    <x v="15"/>
    <m/>
    <x v="1"/>
    <x v="2"/>
    <n v="7"/>
    <s v="Benjamin Clark"/>
    <x v="2"/>
  </r>
  <r>
    <s v="ORD0051"/>
    <s v="CUST041"/>
    <s v="PROD021"/>
    <x v="0"/>
    <n v="37"/>
    <n v="1"/>
    <n v="37"/>
    <x v="0"/>
    <x v="2"/>
    <s v="UPS"/>
    <x v="20"/>
    <x v="0"/>
    <m/>
    <x v="1"/>
    <x v="0"/>
    <s v="NA"/>
    <s v="Jacob Price"/>
    <x v="0"/>
  </r>
  <r>
    <s v="ORD0052"/>
    <s v="CUST008"/>
    <s v="PROD015"/>
    <x v="0"/>
    <n v="22"/>
    <n v="1"/>
    <n v="22"/>
    <x v="4"/>
    <x v="1"/>
    <s v="FedEx"/>
    <x v="49"/>
    <x v="16"/>
    <m/>
    <x v="1"/>
    <x v="4"/>
    <n v="2"/>
    <s v="Harper Young"/>
    <x v="1"/>
  </r>
  <r>
    <s v="ORD0053"/>
    <s v="CUST011"/>
    <s v="PROD016"/>
    <x v="3"/>
    <n v="218"/>
    <n v="5"/>
    <n v="1090"/>
    <x v="2"/>
    <x v="1"/>
    <s v="DHL"/>
    <x v="9"/>
    <x v="17"/>
    <m/>
    <x v="1"/>
    <x v="0"/>
    <n v="3"/>
    <s v="Mason Hall"/>
    <x v="2"/>
  </r>
  <r>
    <s v="ORD0054"/>
    <s v="CUST018"/>
    <s v="PROD004"/>
    <x v="0"/>
    <n v="64"/>
    <n v="1"/>
    <n v="64"/>
    <x v="0"/>
    <x v="0"/>
    <s v="USPS"/>
    <x v="50"/>
    <x v="0"/>
    <d v="2023-03-13T00:00:00"/>
    <x v="0"/>
    <x v="1"/>
    <s v="NA"/>
    <s v="Grace Scott"/>
    <x v="0"/>
  </r>
  <r>
    <s v="ORD0055"/>
    <s v="CUST037"/>
    <s v="PROD021"/>
    <x v="3"/>
    <n v="36"/>
    <n v="4"/>
    <n v="144"/>
    <x v="2"/>
    <x v="1"/>
    <s v="Amazon Logistics"/>
    <x v="4"/>
    <x v="18"/>
    <m/>
    <x v="1"/>
    <x v="0"/>
    <n v="4"/>
    <s v="Emily Johnson"/>
    <x v="2"/>
  </r>
  <r>
    <s v="ORD0056"/>
    <s v="CUST017"/>
    <s v="PROD004"/>
    <x v="4"/>
    <n v="65"/>
    <n v="1"/>
    <n v="65"/>
    <x v="3"/>
    <x v="1"/>
    <s v="FedEx"/>
    <x v="51"/>
    <x v="6"/>
    <m/>
    <x v="1"/>
    <x v="1"/>
    <n v="3"/>
    <s v="Emma King"/>
    <x v="2"/>
  </r>
  <r>
    <s v="ORD0057"/>
    <s v="CUST025"/>
    <s v="PROD005"/>
    <x v="3"/>
    <n v="26"/>
    <n v="1"/>
    <n v="26"/>
    <x v="0"/>
    <x v="1"/>
    <s v="DHL"/>
    <x v="52"/>
    <x v="19"/>
    <m/>
    <x v="1"/>
    <x v="2"/>
    <n v="2"/>
    <s v="Emma King"/>
    <x v="1"/>
  </r>
  <r>
    <s v="ORD0058"/>
    <s v="CUST021"/>
    <s v="PROD009"/>
    <x v="0"/>
    <n v="11"/>
    <n v="5"/>
    <n v="55"/>
    <x v="1"/>
    <x v="2"/>
    <s v="FedEx"/>
    <x v="53"/>
    <x v="0"/>
    <m/>
    <x v="1"/>
    <x v="4"/>
    <s v="NA"/>
    <s v="Zoe Mitchell"/>
    <x v="0"/>
  </r>
  <r>
    <s v="ORD0059"/>
    <s v="CUST003"/>
    <s v="PROD013"/>
    <x v="0"/>
    <n v="195"/>
    <n v="4"/>
    <n v="780"/>
    <x v="2"/>
    <x v="0"/>
    <s v="FedEx"/>
    <x v="54"/>
    <x v="0"/>
    <d v="2023-04-05T00:00:00"/>
    <x v="0"/>
    <x v="0"/>
    <s v="NA"/>
    <s v="Ethan Davis"/>
    <x v="0"/>
  </r>
  <r>
    <s v="ORD0060"/>
    <s v="CUST019"/>
    <s v="PROD019"/>
    <x v="4"/>
    <n v="44"/>
    <n v="5"/>
    <n v="220"/>
    <x v="0"/>
    <x v="0"/>
    <s v="USPS"/>
    <x v="2"/>
    <x v="0"/>
    <d v="2023-10-12T00:00:00"/>
    <x v="0"/>
    <x v="2"/>
    <s v="NA"/>
    <s v="Ava Robinson"/>
    <x v="0"/>
  </r>
  <r>
    <s v="ORD0061"/>
    <s v="CUST035"/>
    <s v="PROD008"/>
    <x v="1"/>
    <n v="69"/>
    <n v="4"/>
    <n v="276"/>
    <x v="4"/>
    <x v="2"/>
    <s v="DHL"/>
    <x v="55"/>
    <x v="0"/>
    <m/>
    <x v="1"/>
    <x v="4"/>
    <s v="NA"/>
    <s v="Scarlett Adams"/>
    <x v="0"/>
  </r>
  <r>
    <s v="ORD0062"/>
    <s v="CUST022"/>
    <s v="PROD001"/>
    <x v="0"/>
    <n v="815"/>
    <n v="4"/>
    <n v="3260"/>
    <x v="1"/>
    <x v="1"/>
    <s v="USPS"/>
    <x v="56"/>
    <x v="20"/>
    <m/>
    <x v="1"/>
    <x v="3"/>
    <n v="7"/>
    <s v="Elijah Lewis"/>
    <x v="2"/>
  </r>
  <r>
    <s v="ORD0063"/>
    <s v="CUST004"/>
    <s v="PROD005"/>
    <x v="1"/>
    <n v="27"/>
    <n v="1"/>
    <n v="27"/>
    <x v="4"/>
    <x v="2"/>
    <s v="Amazon Logistics"/>
    <x v="57"/>
    <x v="0"/>
    <m/>
    <x v="1"/>
    <x v="2"/>
    <s v="NA"/>
    <s v="Noah Wilson"/>
    <x v="0"/>
  </r>
  <r>
    <s v="ORD0064"/>
    <s v="CUST048"/>
    <s v="PROD003"/>
    <x v="4"/>
    <n v="139"/>
    <n v="5"/>
    <n v="695"/>
    <x v="0"/>
    <x v="1"/>
    <s v="USPS"/>
    <x v="38"/>
    <x v="21"/>
    <m/>
    <x v="1"/>
    <x v="0"/>
    <n v="4"/>
    <s v="Noah Wilson"/>
    <x v="2"/>
  </r>
  <r>
    <s v="ORD0065"/>
    <s v="CUST009"/>
    <s v="PROD008"/>
    <x v="2"/>
    <n v="69"/>
    <n v="3"/>
    <n v="207"/>
    <x v="2"/>
    <x v="0"/>
    <s v="Amazon Logistics"/>
    <x v="51"/>
    <x v="0"/>
    <d v="2023-10-20T00:00:00"/>
    <x v="0"/>
    <x v="4"/>
    <s v="NA"/>
    <s v="Jackson Allen"/>
    <x v="0"/>
  </r>
  <r>
    <s v="ORD0066"/>
    <s v="CUST009"/>
    <s v="PROD019"/>
    <x v="4"/>
    <n v="42"/>
    <n v="1"/>
    <n v="42"/>
    <x v="0"/>
    <x v="0"/>
    <s v="DHL"/>
    <x v="58"/>
    <x v="0"/>
    <d v="2023-05-21T00:00:00"/>
    <x v="0"/>
    <x v="2"/>
    <s v="NA"/>
    <s v="Jackson Allen"/>
    <x v="0"/>
  </r>
  <r>
    <s v="ORD0067"/>
    <s v="CUST050"/>
    <s v="PROD007"/>
    <x v="0"/>
    <n v="31"/>
    <n v="4"/>
    <n v="124"/>
    <x v="1"/>
    <x v="1"/>
    <s v="UPS"/>
    <x v="59"/>
    <x v="22"/>
    <m/>
    <x v="1"/>
    <x v="1"/>
    <n v="2"/>
    <s v="Not Found"/>
    <x v="1"/>
  </r>
  <r>
    <s v="ORD0068"/>
    <s v="CUST045"/>
    <s v="PROD020"/>
    <x v="4"/>
    <n v="104"/>
    <n v="3"/>
    <n v="312"/>
    <x v="1"/>
    <x v="2"/>
    <s v="UPS"/>
    <x v="42"/>
    <x v="0"/>
    <m/>
    <x v="1"/>
    <x v="3"/>
    <s v="NA"/>
    <s v="Emily Johnson"/>
    <x v="0"/>
  </r>
  <r>
    <s v="ORD0069"/>
    <s v="CUST044"/>
    <s v="PROD010"/>
    <x v="1"/>
    <n v="58"/>
    <n v="2"/>
    <n v="116"/>
    <x v="0"/>
    <x v="0"/>
    <s v="USPS"/>
    <x v="60"/>
    <x v="0"/>
    <d v="2023-07-07T00:00:00"/>
    <x v="0"/>
    <x v="2"/>
    <s v="NA"/>
    <s v="Grace Ward"/>
    <x v="0"/>
  </r>
  <r>
    <s v="ORD0070"/>
    <s v="CUST009"/>
    <s v="PROD004"/>
    <x v="4"/>
    <n v="62"/>
    <n v="2"/>
    <n v="124"/>
    <x v="4"/>
    <x v="0"/>
    <s v="DHL"/>
    <x v="26"/>
    <x v="0"/>
    <d v="2023-10-10T00:00:00"/>
    <x v="0"/>
    <x v="1"/>
    <s v="NA"/>
    <s v="Jackson Allen"/>
    <x v="0"/>
  </r>
  <r>
    <s v="ORD0071"/>
    <s v="CUST006"/>
    <s v="PROD019"/>
    <x v="1"/>
    <n v="43"/>
    <n v="1"/>
    <n v="43"/>
    <x v="1"/>
    <x v="1"/>
    <s v="Amazon Logistics"/>
    <x v="42"/>
    <x v="23"/>
    <m/>
    <x v="1"/>
    <x v="2"/>
    <n v="7"/>
    <s v="Ava Robinson"/>
    <x v="2"/>
  </r>
  <r>
    <s v="ORD0072"/>
    <s v="CUST022"/>
    <s v="PROD004"/>
    <x v="1"/>
    <n v="62"/>
    <n v="4"/>
    <n v="248"/>
    <x v="4"/>
    <x v="2"/>
    <s v="Amazon Logistics"/>
    <x v="61"/>
    <x v="0"/>
    <m/>
    <x v="1"/>
    <x v="1"/>
    <s v="NA"/>
    <s v="Elijah Lewis"/>
    <x v="0"/>
  </r>
  <r>
    <s v="ORD0073"/>
    <s v="CUST028"/>
    <s v="PROD006"/>
    <x v="0"/>
    <n v="95"/>
    <n v="2"/>
    <n v="190"/>
    <x v="2"/>
    <x v="0"/>
    <s v="UPS"/>
    <x v="62"/>
    <x v="0"/>
    <d v="2023-07-25T00:00:00"/>
    <x v="0"/>
    <x v="2"/>
    <s v="NA"/>
    <s v="Lily Bennett"/>
    <x v="0"/>
  </r>
  <r>
    <s v="ORD0074"/>
    <s v="CUST016"/>
    <s v="PROD021"/>
    <x v="3"/>
    <n v="36"/>
    <n v="4"/>
    <n v="144"/>
    <x v="0"/>
    <x v="1"/>
    <s v="FedEx"/>
    <x v="63"/>
    <x v="24"/>
    <m/>
    <x v="1"/>
    <x v="0"/>
    <n v="6"/>
    <s v="Elijah Lewis"/>
    <x v="2"/>
  </r>
  <r>
    <s v="ORD0075"/>
    <s v="CUST042"/>
    <s v="PROD017"/>
    <x v="1"/>
    <n v="73"/>
    <n v="5"/>
    <n v="365"/>
    <x v="0"/>
    <x v="2"/>
    <s v="DHL"/>
    <x v="64"/>
    <x v="0"/>
    <m/>
    <x v="1"/>
    <x v="3"/>
    <s v="NA"/>
    <s v="Noah Wilson"/>
    <x v="0"/>
  </r>
  <r>
    <s v="ORD0076"/>
    <s v="CUST023"/>
    <s v="PROD019"/>
    <x v="0"/>
    <n v="43"/>
    <n v="4"/>
    <n v="172"/>
    <x v="4"/>
    <x v="1"/>
    <s v="DHL"/>
    <x v="65"/>
    <x v="25"/>
    <m/>
    <x v="1"/>
    <x v="2"/>
    <n v="6"/>
    <s v="Charlotte Reed"/>
    <x v="2"/>
  </r>
  <r>
    <s v="ORD0077"/>
    <s v="CUST004"/>
    <s v="PROD016"/>
    <x v="4"/>
    <n v="214"/>
    <n v="5"/>
    <n v="1070"/>
    <x v="4"/>
    <x v="1"/>
    <s v="UPS"/>
    <x v="22"/>
    <x v="26"/>
    <m/>
    <x v="1"/>
    <x v="0"/>
    <n v="2"/>
    <s v="Noah Wilson"/>
    <x v="1"/>
  </r>
  <r>
    <s v="ORD0078"/>
    <s v="CUST048"/>
    <s v="PROD002"/>
    <x v="3"/>
    <n v="42"/>
    <n v="2"/>
    <n v="84"/>
    <x v="0"/>
    <x v="0"/>
    <s v="UPS"/>
    <x v="66"/>
    <x v="0"/>
    <d v="2023-12-06T00:00:00"/>
    <x v="0"/>
    <x v="1"/>
    <s v="NA"/>
    <s v="Noah Wilson"/>
    <x v="0"/>
  </r>
  <r>
    <s v="ORD0079"/>
    <s v="CUST048"/>
    <s v="PROD012"/>
    <x v="0"/>
    <n v="46"/>
    <n v="1"/>
    <n v="46"/>
    <x v="3"/>
    <x v="2"/>
    <s v="UPS"/>
    <x v="7"/>
    <x v="0"/>
    <m/>
    <x v="1"/>
    <x v="0"/>
    <s v="NA"/>
    <s v="Noah Wilson"/>
    <x v="0"/>
  </r>
  <r>
    <s v="ORD0080"/>
    <s v="CUST032"/>
    <s v="PROD018"/>
    <x v="1"/>
    <n v="95"/>
    <n v="4"/>
    <n v="380"/>
    <x v="1"/>
    <x v="1"/>
    <s v="UPS"/>
    <x v="67"/>
    <x v="27"/>
    <m/>
    <x v="1"/>
    <x v="1"/>
    <n v="3"/>
    <s v="Luke Gray"/>
    <x v="2"/>
  </r>
  <r>
    <s v="ORD0081"/>
    <s v="CUST001"/>
    <s v="PROD011"/>
    <x v="4"/>
    <n v="174"/>
    <n v="2"/>
    <n v="348"/>
    <x v="2"/>
    <x v="2"/>
    <s v="UPS"/>
    <x v="68"/>
    <x v="0"/>
    <m/>
    <x v="1"/>
    <x v="3"/>
    <s v="NA"/>
    <s v="James Miller"/>
    <x v="0"/>
  </r>
  <r>
    <s v="ORD0082"/>
    <s v="CUST046"/>
    <s v="PROD005"/>
    <x v="0"/>
    <n v="27"/>
    <n v="5"/>
    <n v="135"/>
    <x v="1"/>
    <x v="0"/>
    <s v="Amazon Logistics"/>
    <x v="30"/>
    <x v="0"/>
    <d v="2023-06-18T00:00:00"/>
    <x v="0"/>
    <x v="2"/>
    <s v="NA"/>
    <s v="Emily Johnson"/>
    <x v="0"/>
  </r>
  <r>
    <s v="ORD0083"/>
    <s v="CUST021"/>
    <s v="PROD005"/>
    <x v="2"/>
    <n v="27"/>
    <n v="4"/>
    <n v="108"/>
    <x v="2"/>
    <x v="1"/>
    <s v="USPS"/>
    <x v="69"/>
    <x v="28"/>
    <m/>
    <x v="1"/>
    <x v="2"/>
    <n v="2"/>
    <s v="Zoe Mitchell"/>
    <x v="1"/>
  </r>
  <r>
    <s v="ORD0084"/>
    <s v="CUST015"/>
    <s v="PROD022"/>
    <x v="2"/>
    <n v="65"/>
    <n v="2"/>
    <n v="130"/>
    <x v="2"/>
    <x v="2"/>
    <s v="DHL"/>
    <x v="33"/>
    <x v="0"/>
    <m/>
    <x v="1"/>
    <x v="2"/>
    <s v="NA"/>
    <s v="Ava White"/>
    <x v="0"/>
  </r>
  <r>
    <s v="ORD0085"/>
    <s v="CUST045"/>
    <s v="PROD019"/>
    <x v="1"/>
    <n v="43"/>
    <n v="5"/>
    <n v="215"/>
    <x v="4"/>
    <x v="2"/>
    <s v="DHL"/>
    <x v="61"/>
    <x v="0"/>
    <m/>
    <x v="1"/>
    <x v="2"/>
    <s v="NA"/>
    <s v="Emily Johnson"/>
    <x v="0"/>
  </r>
  <r>
    <s v="ORD0086"/>
    <s v="CUST007"/>
    <s v="PROD016"/>
    <x v="4"/>
    <n v="210"/>
    <n v="1"/>
    <n v="210"/>
    <x v="2"/>
    <x v="2"/>
    <s v="UPS"/>
    <x v="70"/>
    <x v="0"/>
    <m/>
    <x v="1"/>
    <x v="0"/>
    <s v="NA"/>
    <s v="Liam Walker"/>
    <x v="0"/>
  </r>
  <r>
    <s v="ORD0087"/>
    <s v="CUST043"/>
    <s v="PROD021"/>
    <x v="2"/>
    <n v="37"/>
    <n v="3"/>
    <n v="111"/>
    <x v="1"/>
    <x v="2"/>
    <s v="UPS"/>
    <x v="56"/>
    <x v="0"/>
    <m/>
    <x v="1"/>
    <x v="0"/>
    <s v="NA"/>
    <s v="Lily Reed"/>
    <x v="0"/>
  </r>
  <r>
    <s v="ORD0088"/>
    <s v="CUST007"/>
    <s v="PROD001"/>
    <x v="2"/>
    <n v="788"/>
    <n v="4"/>
    <n v="3152"/>
    <x v="4"/>
    <x v="2"/>
    <s v="Amazon Logistics"/>
    <x v="53"/>
    <x v="0"/>
    <m/>
    <x v="1"/>
    <x v="3"/>
    <s v="NA"/>
    <s v="Liam Walker"/>
    <x v="0"/>
  </r>
  <r>
    <s v="ORD0089"/>
    <s v="CUST007"/>
    <s v="PROD016"/>
    <x v="4"/>
    <n v="217"/>
    <n v="5"/>
    <n v="1085"/>
    <x v="4"/>
    <x v="2"/>
    <s v="FedEx"/>
    <x v="71"/>
    <x v="0"/>
    <m/>
    <x v="1"/>
    <x v="0"/>
    <s v="NA"/>
    <s v="Liam Walker"/>
    <x v="0"/>
  </r>
  <r>
    <s v="ORD0090"/>
    <s v="CUST007"/>
    <s v="PROD003"/>
    <x v="4"/>
    <n v="138"/>
    <n v="4"/>
    <n v="552"/>
    <x v="1"/>
    <x v="2"/>
    <s v="FedEx"/>
    <x v="63"/>
    <x v="0"/>
    <m/>
    <x v="1"/>
    <x v="0"/>
    <s v="NA"/>
    <s v="Liam Walker"/>
    <x v="0"/>
  </r>
  <r>
    <s v="ORD0091"/>
    <s v="CUST031"/>
    <s v="PROD001"/>
    <x v="3"/>
    <n v="803"/>
    <n v="2"/>
    <n v="1606"/>
    <x v="0"/>
    <x v="1"/>
    <s v="FedEx"/>
    <x v="72"/>
    <x v="29"/>
    <m/>
    <x v="1"/>
    <x v="3"/>
    <n v="6"/>
    <s v="Mason Collins"/>
    <x v="2"/>
  </r>
  <r>
    <s v="ORD0092"/>
    <s v="CUST013"/>
    <s v="PROD014"/>
    <x v="0"/>
    <n v="248"/>
    <n v="5"/>
    <n v="1240"/>
    <x v="2"/>
    <x v="0"/>
    <s v="UPS"/>
    <x v="73"/>
    <x v="0"/>
    <d v="2023-02-25T00:00:00"/>
    <x v="0"/>
    <x v="3"/>
    <s v="NA"/>
    <s v="Olivia Martinez"/>
    <x v="0"/>
  </r>
  <r>
    <s v="ORD0093"/>
    <s v="CUST036"/>
    <s v="PROD016"/>
    <x v="1"/>
    <n v="210"/>
    <n v="3"/>
    <n v="630"/>
    <x v="0"/>
    <x v="1"/>
    <s v="DHL"/>
    <x v="74"/>
    <x v="30"/>
    <m/>
    <x v="1"/>
    <x v="0"/>
    <n v="2"/>
    <s v="Ethan Davis"/>
    <x v="1"/>
  </r>
  <r>
    <s v="ORD0094"/>
    <s v="CUST013"/>
    <s v="PROD004"/>
    <x v="0"/>
    <n v="62"/>
    <n v="2"/>
    <n v="124"/>
    <x v="1"/>
    <x v="0"/>
    <s v="FedEx"/>
    <x v="75"/>
    <x v="0"/>
    <d v="2023-12-12T00:00:00"/>
    <x v="0"/>
    <x v="1"/>
    <s v="NA"/>
    <s v="Olivia Martinez"/>
    <x v="0"/>
  </r>
  <r>
    <s v="ORD0095"/>
    <s v="CUST043"/>
    <s v="PROD009"/>
    <x v="2"/>
    <n v="11"/>
    <n v="5"/>
    <n v="55"/>
    <x v="4"/>
    <x v="0"/>
    <s v="Amazon Logistics"/>
    <x v="76"/>
    <x v="0"/>
    <d v="2023-06-12T00:00:00"/>
    <x v="0"/>
    <x v="4"/>
    <s v="NA"/>
    <s v="Lily Reed"/>
    <x v="0"/>
  </r>
  <r>
    <s v="ORD0096"/>
    <s v="CUST017"/>
    <s v="PROD015"/>
    <x v="0"/>
    <n v="21"/>
    <n v="2"/>
    <n v="42"/>
    <x v="3"/>
    <x v="1"/>
    <s v="UPS"/>
    <x v="77"/>
    <x v="31"/>
    <m/>
    <x v="1"/>
    <x v="4"/>
    <n v="3"/>
    <s v="Emma King"/>
    <x v="2"/>
  </r>
  <r>
    <s v="ORD0097"/>
    <s v="CUST023"/>
    <s v="PROD018"/>
    <x v="4"/>
    <n v="95"/>
    <n v="5"/>
    <n v="475"/>
    <x v="3"/>
    <x v="1"/>
    <s v="Amazon Logistics"/>
    <x v="78"/>
    <x v="8"/>
    <m/>
    <x v="1"/>
    <x v="1"/>
    <n v="3"/>
    <s v="Charlotte Reed"/>
    <x v="2"/>
  </r>
  <r>
    <s v="ORD0098"/>
    <s v="CUST044"/>
    <s v="PROD016"/>
    <x v="2"/>
    <n v="215"/>
    <n v="2"/>
    <n v="430"/>
    <x v="2"/>
    <x v="1"/>
    <s v="Amazon Logistics"/>
    <x v="79"/>
    <x v="10"/>
    <m/>
    <x v="1"/>
    <x v="0"/>
    <n v="5"/>
    <s v="Grace Ward"/>
    <x v="2"/>
  </r>
  <r>
    <s v="ORD0099"/>
    <s v="CUST034"/>
    <s v="PROD019"/>
    <x v="4"/>
    <n v="43"/>
    <n v="5"/>
    <n v="215"/>
    <x v="1"/>
    <x v="0"/>
    <s v="UPS"/>
    <x v="63"/>
    <x v="0"/>
    <d v="2023-01-24T00:00:00"/>
    <x v="0"/>
    <x v="2"/>
    <s v="NA"/>
    <s v="Lily Simmons"/>
    <x v="0"/>
  </r>
  <r>
    <s v="ORD0100"/>
    <s v="CUST009"/>
    <s v="PROD002"/>
    <x v="4"/>
    <n v="42"/>
    <n v="4"/>
    <n v="168"/>
    <x v="4"/>
    <x v="2"/>
    <s v="DHL"/>
    <x v="80"/>
    <x v="0"/>
    <m/>
    <x v="1"/>
    <x v="1"/>
    <s v="NA"/>
    <s v="Jackson Allen"/>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s v="CUST021"/>
    <s v="PROD012"/>
    <x v="0"/>
    <n v="44"/>
    <n v="1"/>
    <x v="0"/>
    <s v="Apple Pay"/>
    <s v="Cancelled"/>
    <s v="DHL"/>
    <x v="0"/>
    <m/>
    <d v="2024-01-02T00:00:00"/>
    <s v="Yes"/>
    <x v="0"/>
    <s v="NA"/>
    <s v="Zoe Mitchell"/>
    <x v="0"/>
    <x v="0"/>
  </r>
  <r>
    <x v="1"/>
    <s v="CUST029"/>
    <s v="PROD018"/>
    <x v="1"/>
    <n v="96"/>
    <n v="4"/>
    <x v="1"/>
    <s v="Credit Card"/>
    <s v="Delivered"/>
    <s v="DHL"/>
    <x v="1"/>
    <d v="2023-02-24T00:00:00"/>
    <m/>
    <s v="No"/>
    <x v="1"/>
    <n v="2"/>
    <s v="Ava White"/>
    <x v="1"/>
    <x v="1"/>
  </r>
  <r>
    <x v="2"/>
    <s v="CUST021"/>
    <s v="PROD013"/>
    <x v="2"/>
    <n v="194"/>
    <n v="4"/>
    <x v="2"/>
    <s v="Credit Card"/>
    <s v="In Transit"/>
    <s v="USPS"/>
    <x v="2"/>
    <m/>
    <m/>
    <s v="No"/>
    <x v="0"/>
    <s v="NA"/>
    <s v="Zoe Mitchell"/>
    <x v="0"/>
    <x v="2"/>
  </r>
  <r>
    <x v="3"/>
    <s v="CUST044"/>
    <s v="PROD013"/>
    <x v="0"/>
    <n v="196"/>
    <n v="3"/>
    <x v="3"/>
    <s v="PayPal"/>
    <s v="Cancelled"/>
    <s v="UPS"/>
    <x v="3"/>
    <m/>
    <d v="2023-05-11T00:00:00"/>
    <s v="Yes"/>
    <x v="0"/>
    <s v="NA"/>
    <s v="Grace Ward"/>
    <x v="0"/>
    <x v="2"/>
  </r>
  <r>
    <x v="4"/>
    <s v="CUST027"/>
    <s v="PROD010"/>
    <x v="0"/>
    <n v="59"/>
    <n v="1"/>
    <x v="4"/>
    <s v="PayPal"/>
    <s v="Delivered"/>
    <s v="Amazon Logistics"/>
    <x v="4"/>
    <d v="2023-02-05T00:00:00"/>
    <m/>
    <s v="No"/>
    <x v="2"/>
    <n v="3"/>
    <s v="Hazel Brooks"/>
    <x v="2"/>
    <x v="3"/>
  </r>
  <r>
    <x v="5"/>
    <s v="CUST009"/>
    <s v="PROD010"/>
    <x v="0"/>
    <n v="58"/>
    <n v="4"/>
    <x v="5"/>
    <s v="Amazon Pay"/>
    <s v="Cancelled"/>
    <s v="DHL"/>
    <x v="5"/>
    <m/>
    <d v="2023-11-02T00:00:00"/>
    <s v="Yes"/>
    <x v="2"/>
    <s v="NA"/>
    <s v="Jackson Allen"/>
    <x v="0"/>
    <x v="3"/>
  </r>
  <r>
    <x v="6"/>
    <s v="CUST042"/>
    <s v="PROD020"/>
    <x v="3"/>
    <n v="105"/>
    <n v="3"/>
    <x v="6"/>
    <s v="Debit Card"/>
    <s v="Cancelled"/>
    <s v="DHL"/>
    <x v="6"/>
    <m/>
    <d v="2023-08-18T00:00:00"/>
    <s v="Yes"/>
    <x v="3"/>
    <s v="NA"/>
    <s v="Noah Wilson"/>
    <x v="0"/>
    <x v="4"/>
  </r>
  <r>
    <x v="7"/>
    <s v="CUST019"/>
    <s v="PROD021"/>
    <x v="4"/>
    <n v="37"/>
    <n v="5"/>
    <x v="7"/>
    <s v="PayPal"/>
    <s v="Cancelled"/>
    <s v="DHL"/>
    <x v="7"/>
    <m/>
    <d v="2023-04-06T00:00:00"/>
    <s v="Yes"/>
    <x v="0"/>
    <s v="NA"/>
    <s v="Ava Robinson"/>
    <x v="0"/>
    <x v="5"/>
  </r>
  <r>
    <x v="8"/>
    <s v="CUST013"/>
    <s v="PROD019"/>
    <x v="3"/>
    <n v="44"/>
    <n v="2"/>
    <x v="8"/>
    <s v="Credit Card"/>
    <s v="In Transit"/>
    <s v="Amazon Logistics"/>
    <x v="8"/>
    <m/>
    <m/>
    <s v="No"/>
    <x v="2"/>
    <s v="NA"/>
    <s v="Olivia Martinez"/>
    <x v="0"/>
    <x v="6"/>
  </r>
  <r>
    <x v="9"/>
    <s v="CUST019"/>
    <s v="PROD003"/>
    <x v="2"/>
    <n v="141"/>
    <n v="4"/>
    <x v="9"/>
    <s v="Debit Card"/>
    <s v="In Transit"/>
    <s v="DHL"/>
    <x v="9"/>
    <m/>
    <m/>
    <s v="No"/>
    <x v="0"/>
    <s v="NA"/>
    <s v="Ava Robinson"/>
    <x v="0"/>
    <x v="7"/>
  </r>
  <r>
    <x v="10"/>
    <s v="CUST046"/>
    <s v="PROD014"/>
    <x v="2"/>
    <n v="249"/>
    <n v="1"/>
    <x v="10"/>
    <s v="Amazon Pay"/>
    <s v="Cancelled"/>
    <s v="USPS"/>
    <x v="10"/>
    <m/>
    <d v="2023-05-08T00:00:00"/>
    <s v="Yes"/>
    <x v="3"/>
    <s v="NA"/>
    <s v="Emily Johnson"/>
    <x v="0"/>
    <x v="8"/>
  </r>
  <r>
    <x v="11"/>
    <s v="CUST045"/>
    <s v="PROD014"/>
    <x v="3"/>
    <n v="247"/>
    <n v="3"/>
    <x v="11"/>
    <s v="Amazon Pay"/>
    <s v="In Transit"/>
    <s v="FedEx"/>
    <x v="11"/>
    <m/>
    <m/>
    <s v="No"/>
    <x v="3"/>
    <s v="NA"/>
    <s v="Emily Johnson"/>
    <x v="0"/>
    <x v="8"/>
  </r>
  <r>
    <x v="12"/>
    <s v="CUST023"/>
    <s v="PROD006"/>
    <x v="3"/>
    <n v="96"/>
    <n v="1"/>
    <x v="12"/>
    <s v="Apple Pay"/>
    <s v="Cancelled"/>
    <s v="Amazon Logistics"/>
    <x v="12"/>
    <m/>
    <d v="2023-02-28T00:00:00"/>
    <s v="Yes"/>
    <x v="2"/>
    <s v="NA"/>
    <s v="Charlotte Reed"/>
    <x v="0"/>
    <x v="9"/>
  </r>
  <r>
    <x v="13"/>
    <s v="CUST033"/>
    <s v="PROD017"/>
    <x v="4"/>
    <n v="74"/>
    <n v="5"/>
    <x v="13"/>
    <s v="Apple Pay"/>
    <s v="Cancelled"/>
    <s v="Amazon Logistics"/>
    <x v="13"/>
    <m/>
    <d v="2023-02-25T00:00:00"/>
    <s v="Yes"/>
    <x v="3"/>
    <s v="NA"/>
    <s v="Hazel Rivera"/>
    <x v="0"/>
    <x v="10"/>
  </r>
  <r>
    <x v="14"/>
    <s v="CUST033"/>
    <s v="PROD005"/>
    <x v="2"/>
    <n v="27"/>
    <n v="1"/>
    <x v="14"/>
    <s v="Credit Card"/>
    <s v="Cancelled"/>
    <s v="Amazon Logistics"/>
    <x v="14"/>
    <m/>
    <d v="2023-09-02T00:00:00"/>
    <s v="Yes"/>
    <x v="2"/>
    <s v="NA"/>
    <s v="Hazel Rivera"/>
    <x v="0"/>
    <x v="11"/>
  </r>
  <r>
    <x v="15"/>
    <s v="CUST047"/>
    <s v="PROD005"/>
    <x v="2"/>
    <n v="27"/>
    <n v="3"/>
    <x v="15"/>
    <s v="Debit Card"/>
    <s v="In Transit"/>
    <s v="Amazon Logistics"/>
    <x v="15"/>
    <m/>
    <m/>
    <s v="No"/>
    <x v="2"/>
    <s v="NA"/>
    <s v="Scarlett Murphy"/>
    <x v="0"/>
    <x v="11"/>
  </r>
  <r>
    <x v="16"/>
    <s v="CUST045"/>
    <s v="PROD015"/>
    <x v="1"/>
    <n v="21"/>
    <n v="3"/>
    <x v="16"/>
    <s v="Credit Card"/>
    <s v="Delivered"/>
    <s v="DHL"/>
    <x v="16"/>
    <d v="2023-07-01T00:00:00"/>
    <m/>
    <s v="No"/>
    <x v="4"/>
    <n v="3"/>
    <s v="Emily Johnson"/>
    <x v="2"/>
    <x v="12"/>
  </r>
  <r>
    <x v="17"/>
    <s v="CUST011"/>
    <s v="PROD008"/>
    <x v="4"/>
    <n v="70"/>
    <n v="5"/>
    <x v="17"/>
    <s v="PayPal"/>
    <s v="In Transit"/>
    <s v="Amazon Logistics"/>
    <x v="17"/>
    <m/>
    <m/>
    <s v="No"/>
    <x v="4"/>
    <s v="NA"/>
    <s v="Mason Hall"/>
    <x v="0"/>
    <x v="13"/>
  </r>
  <r>
    <x v="18"/>
    <s v="CUST041"/>
    <s v="PROD006"/>
    <x v="2"/>
    <n v="94"/>
    <n v="4"/>
    <x v="18"/>
    <s v="Credit Card"/>
    <s v="In Transit"/>
    <s v="USPS"/>
    <x v="18"/>
    <m/>
    <m/>
    <s v="No"/>
    <x v="2"/>
    <s v="NA"/>
    <s v="Jacob Price"/>
    <x v="0"/>
    <x v="9"/>
  </r>
  <r>
    <x v="19"/>
    <s v="CUST025"/>
    <s v="PROD001"/>
    <x v="0"/>
    <n v="813"/>
    <n v="2"/>
    <x v="19"/>
    <s v="Credit Card"/>
    <s v="In Transit"/>
    <s v="FedEx"/>
    <x v="19"/>
    <m/>
    <m/>
    <s v="No"/>
    <x v="3"/>
    <s v="NA"/>
    <s v="Emma King"/>
    <x v="0"/>
    <x v="14"/>
  </r>
  <r>
    <x v="20"/>
    <s v="CUST013"/>
    <s v="PROD015"/>
    <x v="3"/>
    <n v="21"/>
    <n v="4"/>
    <x v="20"/>
    <s v="PayPal"/>
    <s v="In Transit"/>
    <s v="Amazon Logistics"/>
    <x v="20"/>
    <m/>
    <m/>
    <s v="No"/>
    <x v="4"/>
    <s v="NA"/>
    <s v="Olivia Martinez"/>
    <x v="0"/>
    <x v="12"/>
  </r>
  <r>
    <x v="21"/>
    <s v="CUST023"/>
    <s v="PROD012"/>
    <x v="4"/>
    <n v="46"/>
    <n v="5"/>
    <x v="21"/>
    <s v="PayPal"/>
    <s v="In Transit"/>
    <s v="USPS"/>
    <x v="21"/>
    <m/>
    <m/>
    <s v="No"/>
    <x v="0"/>
    <s v="NA"/>
    <s v="Charlotte Reed"/>
    <x v="0"/>
    <x v="0"/>
  </r>
  <r>
    <x v="22"/>
    <s v="CUST016"/>
    <s v="PROD010"/>
    <x v="4"/>
    <n v="58"/>
    <n v="3"/>
    <x v="22"/>
    <s v="Amazon Pay"/>
    <s v="Cancelled"/>
    <s v="Amazon Logistics"/>
    <x v="15"/>
    <m/>
    <d v="2023-02-14T00:00:00"/>
    <s v="Yes"/>
    <x v="2"/>
    <s v="NA"/>
    <s v="Elijah Lewis"/>
    <x v="0"/>
    <x v="3"/>
  </r>
  <r>
    <x v="23"/>
    <s v="CUST028"/>
    <s v="PROD006"/>
    <x v="4"/>
    <n v="96"/>
    <n v="5"/>
    <x v="23"/>
    <s v="Amazon Pay"/>
    <s v="Delivered"/>
    <s v="Amazon Logistics"/>
    <x v="22"/>
    <d v="2023-11-05T00:00:00"/>
    <m/>
    <s v="No"/>
    <x v="2"/>
    <n v="3"/>
    <s v="Lily Bennett"/>
    <x v="2"/>
    <x v="9"/>
  </r>
  <r>
    <x v="24"/>
    <s v="CUST040"/>
    <s v="PROD002"/>
    <x v="2"/>
    <n v="43"/>
    <n v="1"/>
    <x v="24"/>
    <s v="Debit Card"/>
    <s v="Delivered"/>
    <s v="Amazon Logistics"/>
    <x v="23"/>
    <d v="2023-05-30T00:00:00"/>
    <m/>
    <s v="No"/>
    <x v="1"/>
    <n v="2"/>
    <s v="Benjamin Clark"/>
    <x v="1"/>
    <x v="15"/>
  </r>
  <r>
    <x v="25"/>
    <s v="CUST027"/>
    <s v="PROD022"/>
    <x v="2"/>
    <n v="64"/>
    <n v="4"/>
    <x v="25"/>
    <s v="Debit Card"/>
    <s v="Delivered"/>
    <s v="USPS"/>
    <x v="24"/>
    <d v="2023-10-21T00:00:00"/>
    <m/>
    <s v="No"/>
    <x v="2"/>
    <n v="6"/>
    <s v="Hazel Brooks"/>
    <x v="2"/>
    <x v="16"/>
  </r>
  <r>
    <x v="26"/>
    <s v="CUST018"/>
    <s v="PROD008"/>
    <x v="2"/>
    <n v="70"/>
    <n v="2"/>
    <x v="26"/>
    <s v="Amazon Pay"/>
    <s v="In Transit"/>
    <s v="Amazon Logistics"/>
    <x v="25"/>
    <m/>
    <m/>
    <s v="No"/>
    <x v="4"/>
    <s v="NA"/>
    <s v="Grace Scott"/>
    <x v="0"/>
    <x v="13"/>
  </r>
  <r>
    <x v="27"/>
    <s v="CUST018"/>
    <s v="PROD018"/>
    <x v="3"/>
    <n v="97"/>
    <n v="3"/>
    <x v="27"/>
    <s v="Credit Card"/>
    <s v="In Transit"/>
    <s v="Amazon Logistics"/>
    <x v="26"/>
    <m/>
    <m/>
    <s v="No"/>
    <x v="1"/>
    <s v="NA"/>
    <s v="Grace Scott"/>
    <x v="0"/>
    <x v="1"/>
  </r>
  <r>
    <x v="28"/>
    <s v="CUST007"/>
    <s v="PROD021"/>
    <x v="1"/>
    <n v="37"/>
    <n v="3"/>
    <x v="28"/>
    <s v="Apple Pay"/>
    <s v="Cancelled"/>
    <s v="DHL"/>
    <x v="27"/>
    <m/>
    <d v="2023-10-10T00:00:00"/>
    <s v="Yes"/>
    <x v="0"/>
    <s v="NA"/>
    <s v="Liam Walker"/>
    <x v="0"/>
    <x v="5"/>
  </r>
  <r>
    <x v="29"/>
    <s v="CUST008"/>
    <s v="PROD008"/>
    <x v="0"/>
    <n v="69"/>
    <n v="5"/>
    <x v="29"/>
    <s v="Amazon Pay"/>
    <s v="In Transit"/>
    <s v="Amazon Logistics"/>
    <x v="28"/>
    <m/>
    <m/>
    <s v="No"/>
    <x v="4"/>
    <s v="NA"/>
    <s v="Harper Young"/>
    <x v="0"/>
    <x v="13"/>
  </r>
  <r>
    <x v="30"/>
    <s v="CUST014"/>
    <s v="PROD002"/>
    <x v="0"/>
    <n v="42"/>
    <n v="5"/>
    <x v="30"/>
    <s v="Amazon Pay"/>
    <s v="In Transit"/>
    <s v="UPS"/>
    <x v="29"/>
    <m/>
    <m/>
    <s v="No"/>
    <x v="1"/>
    <s v="NA"/>
    <s v="Harper Young"/>
    <x v="0"/>
    <x v="15"/>
  </r>
  <r>
    <x v="31"/>
    <s v="CUST037"/>
    <s v="PROD009"/>
    <x v="1"/>
    <n v="11"/>
    <n v="5"/>
    <x v="31"/>
    <s v="Debit Card"/>
    <s v="Cancelled"/>
    <s v="FedEx"/>
    <x v="30"/>
    <m/>
    <d v="2023-06-22T00:00:00"/>
    <s v="Yes"/>
    <x v="4"/>
    <s v="NA"/>
    <s v="Emily Johnson"/>
    <x v="0"/>
    <x v="17"/>
  </r>
  <r>
    <x v="32"/>
    <s v="CUST016"/>
    <s v="PROD005"/>
    <x v="2"/>
    <n v="27"/>
    <n v="2"/>
    <x v="32"/>
    <s v="Apple Pay"/>
    <s v="Delivered"/>
    <s v="USPS"/>
    <x v="31"/>
    <d v="2023-05-23T00:00:00"/>
    <m/>
    <s v="No"/>
    <x v="2"/>
    <n v="1"/>
    <s v="Elijah Lewis"/>
    <x v="1"/>
    <x v="11"/>
  </r>
  <r>
    <x v="33"/>
    <s v="CUST025"/>
    <s v="PROD015"/>
    <x v="2"/>
    <n v="21"/>
    <n v="1"/>
    <x v="33"/>
    <s v="Amazon Pay"/>
    <s v="In Transit"/>
    <s v="DHL"/>
    <x v="32"/>
    <m/>
    <m/>
    <s v="No"/>
    <x v="4"/>
    <s v="NA"/>
    <s v="Emma King"/>
    <x v="0"/>
    <x v="12"/>
  </r>
  <r>
    <x v="34"/>
    <s v="CUST032"/>
    <s v="PROD011"/>
    <x v="2"/>
    <n v="172"/>
    <n v="1"/>
    <x v="34"/>
    <s v="PayPal"/>
    <s v="Delivered"/>
    <s v="USPS"/>
    <x v="33"/>
    <d v="2023-12-26T00:00:00"/>
    <m/>
    <s v="No"/>
    <x v="3"/>
    <n v="4"/>
    <s v="Luke Gray"/>
    <x v="2"/>
    <x v="18"/>
  </r>
  <r>
    <x v="35"/>
    <s v="CUST014"/>
    <s v="PROD016"/>
    <x v="0"/>
    <n v="212"/>
    <n v="3"/>
    <x v="35"/>
    <s v="Amazon Pay"/>
    <s v="In Transit"/>
    <s v="UPS"/>
    <x v="34"/>
    <m/>
    <m/>
    <s v="No"/>
    <x v="0"/>
    <s v="NA"/>
    <s v="Harper Young"/>
    <x v="0"/>
    <x v="19"/>
  </r>
  <r>
    <x v="36"/>
    <s v="CUST044"/>
    <s v="PROD002"/>
    <x v="1"/>
    <n v="41"/>
    <n v="4"/>
    <x v="36"/>
    <s v="Credit Card"/>
    <s v="Delivered"/>
    <s v="Amazon Logistics"/>
    <x v="35"/>
    <d v="2023-10-22T00:00:00"/>
    <m/>
    <s v="No"/>
    <x v="1"/>
    <n v="5"/>
    <s v="Grace Ward"/>
    <x v="2"/>
    <x v="15"/>
  </r>
  <r>
    <x v="37"/>
    <s v="CUST028"/>
    <s v="PROD007"/>
    <x v="0"/>
    <n v="32"/>
    <n v="2"/>
    <x v="37"/>
    <s v="Debit Card"/>
    <s v="Cancelled"/>
    <s v="FedEx"/>
    <x v="36"/>
    <m/>
    <d v="2023-08-24T00:00:00"/>
    <s v="Yes"/>
    <x v="1"/>
    <s v="NA"/>
    <s v="Lily Bennett"/>
    <x v="0"/>
    <x v="20"/>
  </r>
  <r>
    <x v="38"/>
    <s v="CUST024"/>
    <s v="PROD022"/>
    <x v="1"/>
    <n v="66"/>
    <n v="2"/>
    <x v="38"/>
    <s v="Apple Pay"/>
    <s v="In Transit"/>
    <s v="DHL"/>
    <x v="37"/>
    <m/>
    <m/>
    <s v="No"/>
    <x v="2"/>
    <s v="NA"/>
    <s v="Scarlett Murphy"/>
    <x v="0"/>
    <x v="16"/>
  </r>
  <r>
    <x v="39"/>
    <s v="CUST006"/>
    <s v="PROD004"/>
    <x v="1"/>
    <n v="62"/>
    <n v="4"/>
    <x v="39"/>
    <s v="Debit Card"/>
    <s v="In Transit"/>
    <s v="UPS"/>
    <x v="38"/>
    <m/>
    <m/>
    <s v="No"/>
    <x v="1"/>
    <s v="NA"/>
    <s v="Ava Robinson"/>
    <x v="0"/>
    <x v="21"/>
  </r>
  <r>
    <x v="40"/>
    <s v="CUST001"/>
    <s v="PROD011"/>
    <x v="4"/>
    <n v="173"/>
    <n v="4"/>
    <x v="40"/>
    <s v="Apple Pay"/>
    <s v="Delivered"/>
    <s v="UPS"/>
    <x v="39"/>
    <d v="2023-09-30T00:00:00"/>
    <m/>
    <s v="No"/>
    <x v="3"/>
    <n v="7"/>
    <s v="James Miller"/>
    <x v="2"/>
    <x v="18"/>
  </r>
  <r>
    <x v="41"/>
    <s v="CUST007"/>
    <s v="PROD004"/>
    <x v="4"/>
    <n v="63"/>
    <n v="3"/>
    <x v="41"/>
    <s v="Apple Pay"/>
    <s v="Delivered"/>
    <s v="UPS"/>
    <x v="40"/>
    <d v="2023-07-18T00:00:00"/>
    <m/>
    <s v="No"/>
    <x v="1"/>
    <n v="2"/>
    <s v="Liam Walker"/>
    <x v="1"/>
    <x v="21"/>
  </r>
  <r>
    <x v="42"/>
    <s v="CUST040"/>
    <s v="PROD021"/>
    <x v="4"/>
    <n v="36"/>
    <n v="3"/>
    <x v="42"/>
    <s v="Debit Card"/>
    <s v="Cancelled"/>
    <s v="USPS"/>
    <x v="41"/>
    <m/>
    <d v="2023-02-11T00:00:00"/>
    <s v="Yes"/>
    <x v="0"/>
    <s v="NA"/>
    <s v="Benjamin Clark"/>
    <x v="0"/>
    <x v="5"/>
  </r>
  <r>
    <x v="43"/>
    <s v="CUST006"/>
    <s v="PROD004"/>
    <x v="3"/>
    <n v="62"/>
    <n v="1"/>
    <x v="43"/>
    <s v="Apple Pay"/>
    <s v="Cancelled"/>
    <s v="Amazon Logistics"/>
    <x v="42"/>
    <m/>
    <d v="2023-12-23T00:00:00"/>
    <s v="Yes"/>
    <x v="1"/>
    <s v="NA"/>
    <s v="Ava Robinson"/>
    <x v="0"/>
    <x v="21"/>
  </r>
  <r>
    <x v="44"/>
    <s v="CUST042"/>
    <s v="PROD003"/>
    <x v="3"/>
    <n v="137"/>
    <n v="5"/>
    <x v="44"/>
    <s v="Amazon Pay"/>
    <s v="Cancelled"/>
    <s v="FedEx"/>
    <x v="43"/>
    <m/>
    <d v="2023-06-14T00:00:00"/>
    <s v="Yes"/>
    <x v="0"/>
    <s v="NA"/>
    <s v="Noah Wilson"/>
    <x v="0"/>
    <x v="7"/>
  </r>
  <r>
    <x v="45"/>
    <s v="CUST039"/>
    <s v="PROD017"/>
    <x v="0"/>
    <n v="73"/>
    <n v="4"/>
    <x v="45"/>
    <s v="Credit Card"/>
    <s v="Delivered"/>
    <s v="Amazon Logistics"/>
    <x v="44"/>
    <d v="2023-12-08T00:00:00"/>
    <m/>
    <s v="No"/>
    <x v="3"/>
    <n v="4"/>
    <s v="Logan Ramirez"/>
    <x v="2"/>
    <x v="10"/>
  </r>
  <r>
    <x v="46"/>
    <s v="CUST041"/>
    <s v="PROD020"/>
    <x v="0"/>
    <n v="104"/>
    <n v="1"/>
    <x v="46"/>
    <s v="PayPal"/>
    <s v="Delivered"/>
    <s v="Amazon Logistics"/>
    <x v="45"/>
    <d v="2023-07-19T00:00:00"/>
    <m/>
    <s v="No"/>
    <x v="3"/>
    <n v="2"/>
    <s v="Jacob Price"/>
    <x v="1"/>
    <x v="4"/>
  </r>
  <r>
    <x v="47"/>
    <s v="CUST044"/>
    <s v="PROD006"/>
    <x v="1"/>
    <n v="97"/>
    <n v="1"/>
    <x v="47"/>
    <s v="Amazon Pay"/>
    <s v="Delivered"/>
    <s v="FedEx"/>
    <x v="46"/>
    <d v="2023-10-24T00:00:00"/>
    <m/>
    <s v="No"/>
    <x v="2"/>
    <n v="5"/>
    <s v="Grace Ward"/>
    <x v="2"/>
    <x v="9"/>
  </r>
  <r>
    <x v="48"/>
    <s v="CUST026"/>
    <s v="PROD017"/>
    <x v="2"/>
    <n v="73"/>
    <n v="5"/>
    <x v="48"/>
    <s v="Apple Pay"/>
    <s v="In Transit"/>
    <s v="Amazon Logistics"/>
    <x v="47"/>
    <m/>
    <m/>
    <s v="No"/>
    <x v="3"/>
    <s v="NA"/>
    <s v="Zoe Mitchell"/>
    <x v="0"/>
    <x v="10"/>
  </r>
  <r>
    <x v="49"/>
    <s v="CUST040"/>
    <s v="PROD005"/>
    <x v="1"/>
    <n v="27"/>
    <n v="3"/>
    <x v="15"/>
    <s v="Amazon Pay"/>
    <s v="Delivered"/>
    <s v="UPS"/>
    <x v="48"/>
    <d v="2023-02-19T00:00:00"/>
    <m/>
    <s v="No"/>
    <x v="2"/>
    <n v="7"/>
    <s v="Benjamin Clark"/>
    <x v="2"/>
    <x v="11"/>
  </r>
  <r>
    <x v="50"/>
    <s v="CUST041"/>
    <s v="PROD021"/>
    <x v="0"/>
    <n v="37"/>
    <n v="1"/>
    <x v="49"/>
    <s v="Apple Pay"/>
    <s v="In Transit"/>
    <s v="UPS"/>
    <x v="20"/>
    <m/>
    <m/>
    <s v="No"/>
    <x v="0"/>
    <s v="NA"/>
    <s v="Jacob Price"/>
    <x v="0"/>
    <x v="5"/>
  </r>
  <r>
    <x v="51"/>
    <s v="CUST008"/>
    <s v="PROD015"/>
    <x v="0"/>
    <n v="22"/>
    <n v="1"/>
    <x v="50"/>
    <s v="Debit Card"/>
    <s v="Delivered"/>
    <s v="FedEx"/>
    <x v="49"/>
    <d v="2023-02-01T00:00:00"/>
    <m/>
    <s v="No"/>
    <x v="4"/>
    <n v="2"/>
    <s v="Harper Young"/>
    <x v="1"/>
    <x v="12"/>
  </r>
  <r>
    <x v="52"/>
    <s v="CUST011"/>
    <s v="PROD016"/>
    <x v="3"/>
    <n v="218"/>
    <n v="5"/>
    <x v="51"/>
    <s v="PayPal"/>
    <s v="Delivered"/>
    <s v="DHL"/>
    <x v="9"/>
    <d v="2024-01-01T00:00:00"/>
    <m/>
    <s v="No"/>
    <x v="0"/>
    <n v="3"/>
    <s v="Mason Hall"/>
    <x v="2"/>
    <x v="19"/>
  </r>
  <r>
    <x v="53"/>
    <s v="CUST018"/>
    <s v="PROD004"/>
    <x v="0"/>
    <n v="64"/>
    <n v="1"/>
    <x v="37"/>
    <s v="Apple Pay"/>
    <s v="Cancelled"/>
    <s v="USPS"/>
    <x v="50"/>
    <m/>
    <d v="2023-03-13T00:00:00"/>
    <s v="Yes"/>
    <x v="1"/>
    <s v="NA"/>
    <s v="Grace Scott"/>
    <x v="0"/>
    <x v="21"/>
  </r>
  <r>
    <x v="54"/>
    <s v="CUST037"/>
    <s v="PROD021"/>
    <x v="3"/>
    <n v="36"/>
    <n v="4"/>
    <x v="52"/>
    <s v="PayPal"/>
    <s v="Delivered"/>
    <s v="Amazon Logistics"/>
    <x v="4"/>
    <d v="2023-02-06T00:00:00"/>
    <m/>
    <s v="No"/>
    <x v="0"/>
    <n v="4"/>
    <s v="Emily Johnson"/>
    <x v="2"/>
    <x v="5"/>
  </r>
  <r>
    <x v="55"/>
    <s v="CUST017"/>
    <s v="PROD004"/>
    <x v="4"/>
    <n v="65"/>
    <n v="1"/>
    <x v="53"/>
    <s v="Amazon Pay"/>
    <s v="Delivered"/>
    <s v="FedEx"/>
    <x v="51"/>
    <d v="2023-10-21T00:00:00"/>
    <m/>
    <s v="No"/>
    <x v="1"/>
    <n v="3"/>
    <s v="Emma King"/>
    <x v="2"/>
    <x v="21"/>
  </r>
  <r>
    <x v="56"/>
    <s v="CUST025"/>
    <s v="PROD005"/>
    <x v="3"/>
    <n v="26"/>
    <n v="1"/>
    <x v="54"/>
    <s v="Apple Pay"/>
    <s v="Delivered"/>
    <s v="DHL"/>
    <x v="52"/>
    <d v="2023-01-09T00:00:00"/>
    <m/>
    <s v="No"/>
    <x v="2"/>
    <n v="2"/>
    <s v="Emma King"/>
    <x v="1"/>
    <x v="11"/>
  </r>
  <r>
    <x v="57"/>
    <s v="CUST021"/>
    <s v="PROD009"/>
    <x v="0"/>
    <n v="11"/>
    <n v="5"/>
    <x v="31"/>
    <s v="Credit Card"/>
    <s v="In Transit"/>
    <s v="FedEx"/>
    <x v="53"/>
    <m/>
    <m/>
    <s v="No"/>
    <x v="4"/>
    <s v="NA"/>
    <s v="Zoe Mitchell"/>
    <x v="0"/>
    <x v="17"/>
  </r>
  <r>
    <x v="58"/>
    <s v="CUST003"/>
    <s v="PROD013"/>
    <x v="0"/>
    <n v="195"/>
    <n v="4"/>
    <x v="55"/>
    <s v="PayPal"/>
    <s v="Cancelled"/>
    <s v="FedEx"/>
    <x v="54"/>
    <m/>
    <d v="2023-04-05T00:00:00"/>
    <s v="Yes"/>
    <x v="0"/>
    <s v="NA"/>
    <s v="Ethan Davis"/>
    <x v="0"/>
    <x v="2"/>
  </r>
  <r>
    <x v="59"/>
    <s v="CUST019"/>
    <s v="PROD019"/>
    <x v="4"/>
    <n v="44"/>
    <n v="5"/>
    <x v="56"/>
    <s v="Apple Pay"/>
    <s v="Cancelled"/>
    <s v="USPS"/>
    <x v="2"/>
    <m/>
    <d v="2023-10-12T00:00:00"/>
    <s v="Yes"/>
    <x v="2"/>
    <s v="NA"/>
    <s v="Ava Robinson"/>
    <x v="0"/>
    <x v="6"/>
  </r>
  <r>
    <x v="60"/>
    <s v="CUST035"/>
    <s v="PROD008"/>
    <x v="1"/>
    <n v="69"/>
    <n v="4"/>
    <x v="57"/>
    <s v="Debit Card"/>
    <s v="In Transit"/>
    <s v="DHL"/>
    <x v="55"/>
    <m/>
    <m/>
    <s v="No"/>
    <x v="4"/>
    <s v="NA"/>
    <s v="Scarlett Adams"/>
    <x v="0"/>
    <x v="13"/>
  </r>
  <r>
    <x v="61"/>
    <s v="CUST022"/>
    <s v="PROD001"/>
    <x v="0"/>
    <n v="815"/>
    <n v="4"/>
    <x v="58"/>
    <s v="Credit Card"/>
    <s v="Delivered"/>
    <s v="USPS"/>
    <x v="56"/>
    <d v="2023-11-29T00:00:00"/>
    <m/>
    <s v="No"/>
    <x v="3"/>
    <n v="7"/>
    <s v="Elijah Lewis"/>
    <x v="2"/>
    <x v="14"/>
  </r>
  <r>
    <x v="62"/>
    <s v="CUST004"/>
    <s v="PROD005"/>
    <x v="1"/>
    <n v="27"/>
    <n v="1"/>
    <x v="14"/>
    <s v="Debit Card"/>
    <s v="In Transit"/>
    <s v="Amazon Logistics"/>
    <x v="57"/>
    <m/>
    <m/>
    <s v="No"/>
    <x v="2"/>
    <s v="NA"/>
    <s v="Noah Wilson"/>
    <x v="0"/>
    <x v="11"/>
  </r>
  <r>
    <x v="63"/>
    <s v="CUST048"/>
    <s v="PROD003"/>
    <x v="4"/>
    <n v="139"/>
    <n v="5"/>
    <x v="59"/>
    <s v="Apple Pay"/>
    <s v="Delivered"/>
    <s v="USPS"/>
    <x v="38"/>
    <d v="2023-12-29T00:00:00"/>
    <m/>
    <s v="No"/>
    <x v="0"/>
    <n v="4"/>
    <s v="Noah Wilson"/>
    <x v="2"/>
    <x v="7"/>
  </r>
  <r>
    <x v="64"/>
    <s v="CUST009"/>
    <s v="PROD008"/>
    <x v="2"/>
    <n v="69"/>
    <n v="3"/>
    <x v="60"/>
    <s v="PayPal"/>
    <s v="Cancelled"/>
    <s v="Amazon Logistics"/>
    <x v="51"/>
    <m/>
    <d v="2023-10-20T00:00:00"/>
    <s v="Yes"/>
    <x v="4"/>
    <s v="NA"/>
    <s v="Jackson Allen"/>
    <x v="0"/>
    <x v="13"/>
  </r>
  <r>
    <x v="65"/>
    <s v="CUST009"/>
    <s v="PROD019"/>
    <x v="4"/>
    <n v="42"/>
    <n v="1"/>
    <x v="61"/>
    <s v="Apple Pay"/>
    <s v="Cancelled"/>
    <s v="DHL"/>
    <x v="58"/>
    <m/>
    <d v="2023-05-21T00:00:00"/>
    <s v="Yes"/>
    <x v="2"/>
    <s v="NA"/>
    <s v="Jackson Allen"/>
    <x v="0"/>
    <x v="6"/>
  </r>
  <r>
    <x v="66"/>
    <s v="CUST050"/>
    <s v="PROD007"/>
    <x v="0"/>
    <n v="31"/>
    <n v="4"/>
    <x v="62"/>
    <s v="Credit Card"/>
    <s v="Delivered"/>
    <s v="UPS"/>
    <x v="59"/>
    <d v="2023-07-30T00:00:00"/>
    <m/>
    <s v="No"/>
    <x v="1"/>
    <n v="2"/>
    <s v="Not Found"/>
    <x v="1"/>
    <x v="20"/>
  </r>
  <r>
    <x v="67"/>
    <s v="CUST045"/>
    <s v="PROD020"/>
    <x v="4"/>
    <n v="104"/>
    <n v="3"/>
    <x v="63"/>
    <s v="Credit Card"/>
    <s v="In Transit"/>
    <s v="UPS"/>
    <x v="42"/>
    <m/>
    <m/>
    <s v="No"/>
    <x v="3"/>
    <s v="NA"/>
    <s v="Emily Johnson"/>
    <x v="0"/>
    <x v="4"/>
  </r>
  <r>
    <x v="68"/>
    <s v="CUST044"/>
    <s v="PROD010"/>
    <x v="1"/>
    <n v="58"/>
    <n v="2"/>
    <x v="64"/>
    <s v="Apple Pay"/>
    <s v="Cancelled"/>
    <s v="USPS"/>
    <x v="60"/>
    <m/>
    <d v="2023-07-07T00:00:00"/>
    <s v="Yes"/>
    <x v="2"/>
    <s v="NA"/>
    <s v="Grace Ward"/>
    <x v="0"/>
    <x v="3"/>
  </r>
  <r>
    <x v="69"/>
    <s v="CUST009"/>
    <s v="PROD004"/>
    <x v="4"/>
    <n v="62"/>
    <n v="2"/>
    <x v="62"/>
    <s v="Debit Card"/>
    <s v="Cancelled"/>
    <s v="DHL"/>
    <x v="26"/>
    <m/>
    <d v="2023-10-10T00:00:00"/>
    <s v="Yes"/>
    <x v="1"/>
    <s v="NA"/>
    <s v="Jackson Allen"/>
    <x v="0"/>
    <x v="21"/>
  </r>
  <r>
    <x v="70"/>
    <s v="CUST006"/>
    <s v="PROD019"/>
    <x v="1"/>
    <n v="43"/>
    <n v="1"/>
    <x v="24"/>
    <s v="Credit Card"/>
    <s v="Delivered"/>
    <s v="Amazon Logistics"/>
    <x v="42"/>
    <d v="2023-12-25T00:00:00"/>
    <m/>
    <s v="No"/>
    <x v="2"/>
    <n v="7"/>
    <s v="Ava Robinson"/>
    <x v="2"/>
    <x v="6"/>
  </r>
  <r>
    <x v="71"/>
    <s v="CUST022"/>
    <s v="PROD004"/>
    <x v="1"/>
    <n v="62"/>
    <n v="4"/>
    <x v="39"/>
    <s v="Debit Card"/>
    <s v="In Transit"/>
    <s v="Amazon Logistics"/>
    <x v="61"/>
    <m/>
    <m/>
    <s v="No"/>
    <x v="1"/>
    <s v="NA"/>
    <s v="Elijah Lewis"/>
    <x v="0"/>
    <x v="21"/>
  </r>
  <r>
    <x v="72"/>
    <s v="CUST028"/>
    <s v="PROD006"/>
    <x v="0"/>
    <n v="95"/>
    <n v="2"/>
    <x v="65"/>
    <s v="PayPal"/>
    <s v="Cancelled"/>
    <s v="UPS"/>
    <x v="62"/>
    <m/>
    <d v="2023-07-25T00:00:00"/>
    <s v="Yes"/>
    <x v="2"/>
    <s v="NA"/>
    <s v="Lily Bennett"/>
    <x v="0"/>
    <x v="9"/>
  </r>
  <r>
    <x v="73"/>
    <s v="CUST016"/>
    <s v="PROD021"/>
    <x v="3"/>
    <n v="36"/>
    <n v="4"/>
    <x v="52"/>
    <s v="Apple Pay"/>
    <s v="Delivered"/>
    <s v="FedEx"/>
    <x v="63"/>
    <d v="2023-01-24T00:00:00"/>
    <m/>
    <s v="No"/>
    <x v="0"/>
    <n v="6"/>
    <s v="Elijah Lewis"/>
    <x v="2"/>
    <x v="5"/>
  </r>
  <r>
    <x v="74"/>
    <s v="CUST042"/>
    <s v="PROD017"/>
    <x v="1"/>
    <n v="73"/>
    <n v="5"/>
    <x v="48"/>
    <s v="Apple Pay"/>
    <s v="In Transit"/>
    <s v="DHL"/>
    <x v="64"/>
    <m/>
    <m/>
    <s v="No"/>
    <x v="3"/>
    <s v="NA"/>
    <s v="Noah Wilson"/>
    <x v="0"/>
    <x v="10"/>
  </r>
  <r>
    <x v="75"/>
    <s v="CUST023"/>
    <s v="PROD019"/>
    <x v="0"/>
    <n v="43"/>
    <n v="4"/>
    <x v="34"/>
    <s v="Debit Card"/>
    <s v="Delivered"/>
    <s v="DHL"/>
    <x v="65"/>
    <d v="2023-09-09T00:00:00"/>
    <m/>
    <s v="No"/>
    <x v="2"/>
    <n v="6"/>
    <s v="Charlotte Reed"/>
    <x v="2"/>
    <x v="6"/>
  </r>
  <r>
    <x v="76"/>
    <s v="CUST004"/>
    <s v="PROD016"/>
    <x v="4"/>
    <n v="214"/>
    <n v="5"/>
    <x v="66"/>
    <s v="Debit Card"/>
    <s v="Delivered"/>
    <s v="UPS"/>
    <x v="22"/>
    <d v="2023-11-04T00:00:00"/>
    <m/>
    <s v="No"/>
    <x v="0"/>
    <n v="2"/>
    <s v="Noah Wilson"/>
    <x v="1"/>
    <x v="19"/>
  </r>
  <r>
    <x v="77"/>
    <s v="CUST048"/>
    <s v="PROD002"/>
    <x v="3"/>
    <n v="42"/>
    <n v="2"/>
    <x v="20"/>
    <s v="Apple Pay"/>
    <s v="Cancelled"/>
    <s v="UPS"/>
    <x v="66"/>
    <m/>
    <d v="2023-12-06T00:00:00"/>
    <s v="Yes"/>
    <x v="1"/>
    <s v="NA"/>
    <s v="Noah Wilson"/>
    <x v="0"/>
    <x v="15"/>
  </r>
  <r>
    <x v="78"/>
    <s v="CUST048"/>
    <s v="PROD012"/>
    <x v="0"/>
    <n v="46"/>
    <n v="1"/>
    <x v="67"/>
    <s v="Amazon Pay"/>
    <s v="In Transit"/>
    <s v="UPS"/>
    <x v="7"/>
    <m/>
    <m/>
    <s v="No"/>
    <x v="0"/>
    <s v="NA"/>
    <s v="Noah Wilson"/>
    <x v="0"/>
    <x v="0"/>
  </r>
  <r>
    <x v="79"/>
    <s v="CUST032"/>
    <s v="PROD018"/>
    <x v="1"/>
    <n v="95"/>
    <n v="4"/>
    <x v="68"/>
    <s v="Credit Card"/>
    <s v="Delivered"/>
    <s v="UPS"/>
    <x v="67"/>
    <d v="2023-10-19T00:00:00"/>
    <m/>
    <s v="No"/>
    <x v="1"/>
    <n v="3"/>
    <s v="Luke Gray"/>
    <x v="2"/>
    <x v="1"/>
  </r>
  <r>
    <x v="80"/>
    <s v="CUST001"/>
    <s v="PROD011"/>
    <x v="4"/>
    <n v="174"/>
    <n v="2"/>
    <x v="69"/>
    <s v="PayPal"/>
    <s v="In Transit"/>
    <s v="UPS"/>
    <x v="68"/>
    <m/>
    <m/>
    <s v="No"/>
    <x v="3"/>
    <s v="NA"/>
    <s v="James Miller"/>
    <x v="0"/>
    <x v="18"/>
  </r>
  <r>
    <x v="81"/>
    <s v="CUST046"/>
    <s v="PROD005"/>
    <x v="0"/>
    <n v="27"/>
    <n v="5"/>
    <x v="70"/>
    <s v="Credit Card"/>
    <s v="Cancelled"/>
    <s v="Amazon Logistics"/>
    <x v="30"/>
    <m/>
    <d v="2023-06-18T00:00:00"/>
    <s v="Yes"/>
    <x v="2"/>
    <s v="NA"/>
    <s v="Emily Johnson"/>
    <x v="0"/>
    <x v="11"/>
  </r>
  <r>
    <x v="82"/>
    <s v="CUST021"/>
    <s v="PROD005"/>
    <x v="2"/>
    <n v="27"/>
    <n v="4"/>
    <x v="42"/>
    <s v="PayPal"/>
    <s v="Delivered"/>
    <s v="USPS"/>
    <x v="69"/>
    <d v="2023-10-30T00:00:00"/>
    <m/>
    <s v="No"/>
    <x v="2"/>
    <n v="2"/>
    <s v="Zoe Mitchell"/>
    <x v="1"/>
    <x v="11"/>
  </r>
  <r>
    <x v="83"/>
    <s v="CUST015"/>
    <s v="PROD022"/>
    <x v="2"/>
    <n v="65"/>
    <n v="2"/>
    <x v="71"/>
    <s v="PayPal"/>
    <s v="In Transit"/>
    <s v="DHL"/>
    <x v="33"/>
    <m/>
    <m/>
    <s v="No"/>
    <x v="2"/>
    <s v="NA"/>
    <s v="Ava White"/>
    <x v="0"/>
    <x v="16"/>
  </r>
  <r>
    <x v="84"/>
    <s v="CUST045"/>
    <s v="PROD019"/>
    <x v="1"/>
    <n v="43"/>
    <n v="5"/>
    <x v="72"/>
    <s v="Debit Card"/>
    <s v="In Transit"/>
    <s v="DHL"/>
    <x v="61"/>
    <m/>
    <m/>
    <s v="No"/>
    <x v="2"/>
    <s v="NA"/>
    <s v="Emily Johnson"/>
    <x v="0"/>
    <x v="6"/>
  </r>
  <r>
    <x v="85"/>
    <s v="CUST007"/>
    <s v="PROD016"/>
    <x v="4"/>
    <n v="210"/>
    <n v="1"/>
    <x v="30"/>
    <s v="PayPal"/>
    <s v="In Transit"/>
    <s v="UPS"/>
    <x v="70"/>
    <m/>
    <m/>
    <s v="No"/>
    <x v="0"/>
    <s v="NA"/>
    <s v="Liam Walker"/>
    <x v="0"/>
    <x v="19"/>
  </r>
  <r>
    <x v="86"/>
    <s v="CUST043"/>
    <s v="PROD021"/>
    <x v="2"/>
    <n v="37"/>
    <n v="3"/>
    <x v="28"/>
    <s v="Credit Card"/>
    <s v="In Transit"/>
    <s v="UPS"/>
    <x v="56"/>
    <m/>
    <m/>
    <s v="No"/>
    <x v="0"/>
    <s v="NA"/>
    <s v="Lily Reed"/>
    <x v="0"/>
    <x v="5"/>
  </r>
  <r>
    <x v="87"/>
    <s v="CUST007"/>
    <s v="PROD001"/>
    <x v="2"/>
    <n v="788"/>
    <n v="4"/>
    <x v="73"/>
    <s v="Debit Card"/>
    <s v="In Transit"/>
    <s v="Amazon Logistics"/>
    <x v="53"/>
    <m/>
    <m/>
    <s v="No"/>
    <x v="3"/>
    <s v="NA"/>
    <s v="Liam Walker"/>
    <x v="0"/>
    <x v="14"/>
  </r>
  <r>
    <x v="88"/>
    <s v="CUST007"/>
    <s v="PROD016"/>
    <x v="4"/>
    <n v="217"/>
    <n v="5"/>
    <x v="74"/>
    <s v="Debit Card"/>
    <s v="In Transit"/>
    <s v="FedEx"/>
    <x v="71"/>
    <m/>
    <m/>
    <s v="No"/>
    <x v="0"/>
    <s v="NA"/>
    <s v="Liam Walker"/>
    <x v="0"/>
    <x v="19"/>
  </r>
  <r>
    <x v="89"/>
    <s v="CUST007"/>
    <s v="PROD003"/>
    <x v="4"/>
    <n v="138"/>
    <n v="4"/>
    <x v="75"/>
    <s v="Credit Card"/>
    <s v="In Transit"/>
    <s v="FedEx"/>
    <x v="63"/>
    <m/>
    <m/>
    <s v="No"/>
    <x v="0"/>
    <s v="NA"/>
    <s v="Liam Walker"/>
    <x v="0"/>
    <x v="7"/>
  </r>
  <r>
    <x v="90"/>
    <s v="CUST031"/>
    <s v="PROD001"/>
    <x v="3"/>
    <n v="803"/>
    <n v="2"/>
    <x v="76"/>
    <s v="Apple Pay"/>
    <s v="Delivered"/>
    <s v="FedEx"/>
    <x v="72"/>
    <d v="2023-06-29T00:00:00"/>
    <m/>
    <s v="No"/>
    <x v="3"/>
    <n v="6"/>
    <s v="Mason Collins"/>
    <x v="2"/>
    <x v="14"/>
  </r>
  <r>
    <x v="91"/>
    <s v="CUST013"/>
    <s v="PROD014"/>
    <x v="0"/>
    <n v="248"/>
    <n v="5"/>
    <x v="77"/>
    <s v="PayPal"/>
    <s v="Cancelled"/>
    <s v="UPS"/>
    <x v="73"/>
    <m/>
    <d v="2023-02-25T00:00:00"/>
    <s v="Yes"/>
    <x v="3"/>
    <s v="NA"/>
    <s v="Olivia Martinez"/>
    <x v="0"/>
    <x v="8"/>
  </r>
  <r>
    <x v="92"/>
    <s v="CUST036"/>
    <s v="PROD016"/>
    <x v="1"/>
    <n v="210"/>
    <n v="3"/>
    <x v="78"/>
    <s v="Apple Pay"/>
    <s v="Delivered"/>
    <s v="DHL"/>
    <x v="74"/>
    <d v="2023-02-21T00:00:00"/>
    <m/>
    <s v="No"/>
    <x v="0"/>
    <n v="2"/>
    <s v="Ethan Davis"/>
    <x v="1"/>
    <x v="19"/>
  </r>
  <r>
    <x v="93"/>
    <s v="CUST013"/>
    <s v="PROD004"/>
    <x v="0"/>
    <n v="62"/>
    <n v="2"/>
    <x v="62"/>
    <s v="Credit Card"/>
    <s v="Cancelled"/>
    <s v="FedEx"/>
    <x v="75"/>
    <m/>
    <d v="2023-12-12T00:00:00"/>
    <s v="Yes"/>
    <x v="1"/>
    <s v="NA"/>
    <s v="Olivia Martinez"/>
    <x v="0"/>
    <x v="21"/>
  </r>
  <r>
    <x v="94"/>
    <s v="CUST043"/>
    <s v="PROD009"/>
    <x v="2"/>
    <n v="11"/>
    <n v="5"/>
    <x v="31"/>
    <s v="Debit Card"/>
    <s v="Cancelled"/>
    <s v="Amazon Logistics"/>
    <x v="76"/>
    <m/>
    <d v="2023-06-12T00:00:00"/>
    <s v="Yes"/>
    <x v="4"/>
    <s v="NA"/>
    <s v="Lily Reed"/>
    <x v="0"/>
    <x v="17"/>
  </r>
  <r>
    <x v="95"/>
    <s v="CUST017"/>
    <s v="PROD015"/>
    <x v="0"/>
    <n v="21"/>
    <n v="2"/>
    <x v="61"/>
    <s v="Amazon Pay"/>
    <s v="Delivered"/>
    <s v="UPS"/>
    <x v="77"/>
    <d v="2023-07-12T00:00:00"/>
    <m/>
    <s v="No"/>
    <x v="4"/>
    <n v="3"/>
    <s v="Emma King"/>
    <x v="2"/>
    <x v="12"/>
  </r>
  <r>
    <x v="96"/>
    <s v="CUST023"/>
    <s v="PROD018"/>
    <x v="4"/>
    <n v="95"/>
    <n v="5"/>
    <x v="79"/>
    <s v="Amazon Pay"/>
    <s v="Delivered"/>
    <s v="Amazon Logistics"/>
    <x v="78"/>
    <d v="2023-12-26T00:00:00"/>
    <m/>
    <s v="No"/>
    <x v="1"/>
    <n v="3"/>
    <s v="Charlotte Reed"/>
    <x v="2"/>
    <x v="1"/>
  </r>
  <r>
    <x v="97"/>
    <s v="CUST044"/>
    <s v="PROD016"/>
    <x v="2"/>
    <n v="215"/>
    <n v="2"/>
    <x v="80"/>
    <s v="PayPal"/>
    <s v="Delivered"/>
    <s v="Amazon Logistics"/>
    <x v="79"/>
    <d v="2023-09-30T00:00:00"/>
    <m/>
    <s v="No"/>
    <x v="0"/>
    <n v="5"/>
    <s v="Grace Ward"/>
    <x v="2"/>
    <x v="19"/>
  </r>
  <r>
    <x v="98"/>
    <s v="CUST034"/>
    <s v="PROD019"/>
    <x v="4"/>
    <n v="43"/>
    <n v="5"/>
    <x v="72"/>
    <s v="Credit Card"/>
    <s v="Cancelled"/>
    <s v="UPS"/>
    <x v="63"/>
    <m/>
    <d v="2023-01-24T00:00:00"/>
    <s v="Yes"/>
    <x v="2"/>
    <s v="NA"/>
    <s v="Lily Simmons"/>
    <x v="0"/>
    <x v="6"/>
  </r>
  <r>
    <x v="99"/>
    <s v="CUST009"/>
    <s v="PROD002"/>
    <x v="4"/>
    <n v="42"/>
    <n v="4"/>
    <x v="81"/>
    <s v="Debit Card"/>
    <s v="In Transit"/>
    <s v="DHL"/>
    <x v="80"/>
    <m/>
    <m/>
    <s v="No"/>
    <x v="1"/>
    <s v="NA"/>
    <s v="Jackson Allen"/>
    <x v="0"/>
    <x v="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6793E6-2C98-4F39-8F0A-632FF806CA04}" name="PivotTable1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O4:AS6" firstHeaderRow="1" firstDataRow="2" firstDataCol="1"/>
  <pivotFields count="21">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showAll="0"/>
    <pivotField showAll="0"/>
    <pivotField showAll="0"/>
    <pivotField showAll="0"/>
    <pivotField showAll="0"/>
    <pivotField showAll="0"/>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axis="axisCol" showAll="0">
      <items count="4">
        <item x="1"/>
        <item x="0"/>
        <item x="2"/>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Fields count="1">
    <field x="17"/>
  </colFields>
  <colItems count="4">
    <i>
      <x/>
    </i>
    <i>
      <x v="1"/>
    </i>
    <i>
      <x v="2"/>
    </i>
    <i t="grand">
      <x/>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F27C32-578D-431B-AC02-5A53EC0EEA24}"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3">
  <location ref="AH4:AH5" firstHeaderRow="1" firstDataRow="1" firstDataCol="0"/>
  <pivotFields count="25">
    <pivotField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s>
  <rowItems count="1">
    <i/>
  </rowItems>
  <colItems count="1">
    <i/>
  </colItems>
  <dataFields count="1">
    <dataField name="Sum of Total Amount" fld="6" baseField="0" baseItem="0"/>
  </dataFields>
  <chartFormats count="3">
    <chartFormat chart="20"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7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E4D330-A3B8-4E96-89FC-1878326CC689}"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L4:AM7" firstHeaderRow="1" firstDataRow="1" firstDataCol="1"/>
  <pivotFields count="25">
    <pivotField dataField="1" showAll="0"/>
    <pivotField showAll="0"/>
    <pivotField showAll="0"/>
    <pivotField showAll="0">
      <items count="6">
        <item x="3"/>
        <item x="1"/>
        <item x="0"/>
        <item x="2"/>
        <item x="4"/>
        <item t="default"/>
      </items>
    </pivotField>
    <pivotField showAll="0"/>
    <pivotField showAll="0"/>
    <pivotField showAll="0"/>
    <pivotField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pivotField showAll="0"/>
    <pivotField showAll="0"/>
    <pivotField showAll="0"/>
    <pivotField showAll="0"/>
    <pivotField axis="axisRow" showAll="0" measureFilter="1">
      <items count="23">
        <item x="15"/>
        <item x="16"/>
        <item x="4"/>
        <item x="7"/>
        <item x="19"/>
        <item x="1"/>
        <item x="6"/>
        <item x="10"/>
        <item x="18"/>
        <item x="3"/>
        <item x="0"/>
        <item x="21"/>
        <item x="17"/>
        <item x="12"/>
        <item x="20"/>
        <item x="9"/>
        <item x="14"/>
        <item x="8"/>
        <item x="13"/>
        <item x="11"/>
        <item x="2"/>
        <item x="5"/>
        <item t="default"/>
      </items>
    </pivotField>
    <pivotField showAll="0" defaultSubtotal="0"/>
    <pivotField showAll="0" defaultSubtotal="0"/>
    <pivotField showAll="0" defaultSubtotal="0">
      <items count="4">
        <item x="0"/>
        <item x="1"/>
        <item x="2"/>
        <item x="3"/>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s>
  <rowFields count="1">
    <field x="18"/>
  </rowFields>
  <rowItems count="3">
    <i>
      <x v="11"/>
    </i>
    <i>
      <x v="19"/>
    </i>
    <i t="grand">
      <x/>
    </i>
  </rowItems>
  <colItems count="1">
    <i/>
  </colItems>
  <dataFields count="1">
    <dataField name="Count of Order ID" fld="0" subtotal="count" baseField="0" baseItem="0"/>
  </dataFields>
  <pivotTableStyleInfo name="PivotStyleLight16" showRowHeaders="1" showColHeaders="1" showRowStripes="0" showColStripes="0" showLastColumn="1"/>
  <filters count="1">
    <filter fld="18"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7F069A-A18C-49E4-ADBB-0E5585A76901}"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10" firstHeaderRow="1" firstDataRow="2" firstDataCol="1"/>
  <pivotFields count="21">
    <pivotField showAll="0"/>
    <pivotField showAll="0"/>
    <pivotField showAll="0"/>
    <pivotField axis="axisRow" showAll="0">
      <items count="6">
        <item x="3"/>
        <item x="1"/>
        <item x="0"/>
        <item x="2"/>
        <item x="4"/>
        <item t="default"/>
      </items>
    </pivotField>
    <pivotField showAll="0"/>
    <pivotField showAll="0"/>
    <pivotField dataField="1" showAll="0"/>
    <pivotField showAll="0"/>
    <pivotField showAll="0"/>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axis="axisCol" showAll="0">
      <items count="6">
        <item x="4"/>
        <item x="3"/>
        <item x="2"/>
        <item x="0"/>
        <item x="1"/>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i>
    <i>
      <x v="1"/>
    </i>
    <i>
      <x v="2"/>
    </i>
    <i>
      <x v="3"/>
    </i>
    <i>
      <x v="4"/>
    </i>
    <i t="grand">
      <x/>
    </i>
  </rowItems>
  <colFields count="1">
    <field x="14"/>
  </colFields>
  <colItems count="6">
    <i>
      <x/>
    </i>
    <i>
      <x v="1"/>
    </i>
    <i>
      <x v="2"/>
    </i>
    <i>
      <x v="3"/>
    </i>
    <i>
      <x v="4"/>
    </i>
    <i t="grand">
      <x/>
    </i>
  </colItem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4A266E2-E934-46B8-A463-8D897ADBE2C2}"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7" firstHeaderRow="1" firstDataRow="1" firstDataCol="1"/>
  <pivotFields count="23">
    <pivotField dataField="1"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4">
    <i>
      <x/>
    </i>
    <i>
      <x v="1"/>
    </i>
    <i>
      <x v="2"/>
    </i>
    <i t="grand">
      <x/>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9CD7F8-6B4D-4B5B-AFF9-CC6048EA761D}"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10" firstHeaderRow="1" firstDataRow="1" firstDataCol="1" rowPageCount="2" colPageCount="1"/>
  <pivotFields count="23">
    <pivotField showAll="0"/>
    <pivotField showAll="0"/>
    <pivotField showAll="0"/>
    <pivotField axis="axisRow" showAll="0">
      <items count="6">
        <item x="3"/>
        <item x="1"/>
        <item x="0"/>
        <item x="2"/>
        <item x="4"/>
        <item t="default"/>
      </items>
    </pivotField>
    <pivotField showAll="0"/>
    <pivotField showAll="0"/>
    <pivotField showAll="0"/>
    <pivotField axis="axisPage" showAll="0">
      <items count="6">
        <item x="3"/>
        <item x="0"/>
        <item x="1"/>
        <item x="4"/>
        <item x="2"/>
        <item t="default"/>
      </items>
    </pivotField>
    <pivotField showAll="0"/>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pivotField axis="axisPage" showAll="0">
      <items count="6">
        <item x="4"/>
        <item x="3"/>
        <item x="2"/>
        <item x="0"/>
        <item x="1"/>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6">
    <i>
      <x/>
    </i>
    <i>
      <x v="1"/>
    </i>
    <i>
      <x v="2"/>
    </i>
    <i>
      <x v="3"/>
    </i>
    <i>
      <x v="4"/>
    </i>
    <i t="grand">
      <x/>
    </i>
  </rowItems>
  <colItems count="1">
    <i/>
  </colItems>
  <pageFields count="2">
    <pageField fld="7" hier="-1"/>
    <pageField fld="14" hier="-1"/>
  </page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F3EB64F-6D14-47E5-A743-B298A2FD478D}"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3:D10" firstHeaderRow="1" firstDataRow="2" firstDataCol="1"/>
  <pivotFields count="23">
    <pivotField dataField="1" showAll="0"/>
    <pivotField showAll="0"/>
    <pivotField showAll="0"/>
    <pivotField axis="axisRow" showAll="0">
      <items count="6">
        <item x="3"/>
        <item x="1"/>
        <item x="0"/>
        <item x="2"/>
        <item x="4"/>
        <item t="default"/>
      </items>
    </pivotField>
    <pivotField showAll="0"/>
    <pivotField showAll="0"/>
    <pivotField showAll="0"/>
    <pivotField showAll="0"/>
    <pivotField showAll="0"/>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axis="axisCol" showAll="0">
      <items count="3">
        <item x="1"/>
        <item x="0"/>
        <item t="default"/>
      </items>
    </pivotField>
    <pivotField showAll="0"/>
    <pivotField showAll="0"/>
    <pivotField showAll="0"/>
    <pivotField showAll="0"/>
    <pivotField showAll="0" defaultSubtotal="0"/>
    <pivotField showAll="0" defaultSubtotal="0"/>
    <pivotField showAll="0" defaultSubtotal="0">
      <items count="4">
        <item x="0"/>
        <item x="1"/>
        <item x="2"/>
        <item x="3"/>
      </items>
    </pivotField>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t="grand">
      <x/>
    </i>
  </rowItems>
  <colFields count="1">
    <field x="13"/>
  </colFields>
  <colItems count="3">
    <i>
      <x/>
    </i>
    <i>
      <x v="1"/>
    </i>
    <i t="grand">
      <x/>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6EDB0A5-495E-49E7-B477-0260786A76FE}"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23">
    <pivotField showAll="0"/>
    <pivotField showAll="0"/>
    <pivotField showAll="0"/>
    <pivotField showAll="0"/>
    <pivotField showAll="0"/>
    <pivotField showAll="0"/>
    <pivotField dataField="1" showAll="0"/>
    <pivotField showAll="0"/>
    <pivotField axis="axisRow" showAll="0">
      <items count="4">
        <item h="1" x="0"/>
        <item x="1"/>
        <item h="1"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2">
    <i>
      <x v="1"/>
    </i>
    <i t="grand">
      <x/>
    </i>
  </rowItems>
  <colItems count="1">
    <i/>
  </colItem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430EEAE-5208-422D-B15B-8A9E3542B738}"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3">
    <pivotField showAll="0"/>
    <pivotField showAll="0"/>
    <pivotField showAll="0"/>
    <pivotField showAll="0"/>
    <pivotField showAll="0"/>
    <pivotField showAll="0"/>
    <pivotField dataField="1" showAll="0"/>
    <pivotField showAll="0"/>
    <pivotField axis="axisRow"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4">
    <i>
      <x/>
    </i>
    <i>
      <x v="1"/>
    </i>
    <i>
      <x v="2"/>
    </i>
    <i t="grand">
      <x/>
    </i>
  </rowItems>
  <colItems count="1">
    <i/>
  </colItem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2263F08-97B6-46CF-8B84-CD5A9984DF30}"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5" firstHeaderRow="1" firstDataRow="2" firstDataCol="1"/>
  <pivotFields count="21">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showAll="0"/>
    <pivotField showAll="0"/>
    <pivotField showAll="0"/>
    <pivotField showAll="0"/>
    <pivotField showAll="0"/>
    <pivotField showAll="0"/>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axis="axisCol" showAll="0">
      <items count="4">
        <item x="1"/>
        <item x="0"/>
        <item x="2"/>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Fields count="1">
    <field x="17"/>
  </colFields>
  <colItems count="4">
    <i>
      <x/>
    </i>
    <i>
      <x v="1"/>
    </i>
    <i>
      <x v="2"/>
    </i>
    <i t="grand">
      <x/>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5B32DF2-2B2B-455D-B0FC-3269A3399765}"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9" firstHeaderRow="1" firstDataRow="1" firstDataCol="1"/>
  <pivotFields count="23">
    <pivotField showAll="0"/>
    <pivotField showAll="0"/>
    <pivotField showAll="0"/>
    <pivotField axis="axisRow" showAll="0">
      <items count="6">
        <item x="3"/>
        <item x="1"/>
        <item x="0"/>
        <item x="2"/>
        <item x="4"/>
        <item t="default"/>
      </items>
    </pivotField>
    <pivotField showAll="0"/>
    <pivotField showAll="0"/>
    <pivotField dataField="1" showAll="0"/>
    <pivotField showAll="0"/>
    <pivotField showAll="0"/>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t="grand">
      <x/>
    </i>
  </rowItems>
  <colItems count="1">
    <i/>
  </colItem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39F30AB-1537-4231-8B19-271C4731DAC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6" firstHeaderRow="1" firstDataRow="1" firstDataCol="1"/>
  <pivotFields count="25">
    <pivotField dataField="1" showAll="0"/>
    <pivotField showAll="0"/>
    <pivotField showAll="0"/>
    <pivotField showAll="0">
      <items count="6">
        <item x="3"/>
        <item x="1"/>
        <item x="0"/>
        <item x="2"/>
        <item x="4"/>
        <item t="default"/>
      </items>
    </pivotField>
    <pivotField showAll="0"/>
    <pivotField showAll="0"/>
    <pivotField showAll="0"/>
    <pivotField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pivotField showAll="0"/>
    <pivotField showAll="0"/>
    <pivotField showAll="0"/>
    <pivotField showAll="0"/>
    <pivotField axis="axisRow" showAll="0" measureFilter="1">
      <items count="23">
        <item x="15"/>
        <item x="16"/>
        <item x="4"/>
        <item x="7"/>
        <item x="19"/>
        <item x="1"/>
        <item x="6"/>
        <item x="10"/>
        <item x="18"/>
        <item x="3"/>
        <item x="0"/>
        <item x="21"/>
        <item x="17"/>
        <item x="12"/>
        <item x="20"/>
        <item x="9"/>
        <item x="14"/>
        <item x="8"/>
        <item x="13"/>
        <item x="11"/>
        <item x="2"/>
        <item x="5"/>
        <item t="default"/>
      </items>
    </pivotField>
    <pivotField showAll="0" defaultSubtotal="0"/>
    <pivotField showAll="0" defaultSubtotal="0"/>
    <pivotField showAll="0" defaultSubtotal="0">
      <items count="4">
        <item x="0"/>
        <item x="1"/>
        <item x="2"/>
        <item x="3"/>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s>
  <rowFields count="1">
    <field x="18"/>
  </rowFields>
  <rowItems count="3">
    <i>
      <x v="11"/>
    </i>
    <i>
      <x v="19"/>
    </i>
    <i t="grand">
      <x/>
    </i>
  </rowItems>
  <colItems count="1">
    <i/>
  </colItems>
  <dataFields count="1">
    <dataField name="Count of Order ID" fld="0" subtotal="count" baseField="0" baseItem="0"/>
  </dataFields>
  <pivotTableStyleInfo name="PivotStyleLight16" showRowHeaders="1" showColHeaders="1" showRowStripes="0" showColStripes="0" showLastColumn="1"/>
  <filters count="1">
    <filter fld="18"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FD916A4-F54C-418B-B4F5-57FEE912343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9">
  <location ref="A3:C9" firstHeaderRow="0" firstDataRow="1" firstDataCol="1"/>
  <pivotFields count="25">
    <pivotField showAll="0"/>
    <pivotField showAll="0"/>
    <pivotField showAll="0"/>
    <pivotField axis="axisRow" showAll="0">
      <items count="6">
        <item x="3"/>
        <item x="1"/>
        <item x="0"/>
        <item x="2"/>
        <item x="4"/>
        <item t="default"/>
      </items>
    </pivotField>
    <pivotField showAll="0"/>
    <pivotField showAll="0"/>
    <pivotField showAll="0"/>
    <pivotField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 showAll="0">
      <items count="15">
        <item x="0"/>
        <item x="1"/>
        <item x="2"/>
        <item x="3"/>
        <item x="4"/>
        <item x="5"/>
        <item x="6"/>
        <item x="7"/>
        <item x="8"/>
        <item x="9"/>
        <item x="10"/>
        <item x="11"/>
        <item x="12"/>
        <item x="13"/>
        <item t="default"/>
      </items>
    </pivotField>
    <pivotField dataField="1" dragToRow="0" dragToCol="0" dragToPage="0" showAll="0" defaultSubtotal="0"/>
    <pivotField dataField="1" dragToRow="0" dragToCol="0" dragToPage="0" showAll="0" defaultSubtotal="0"/>
  </pivotFields>
  <rowFields count="1">
    <field x="3"/>
  </rowFields>
  <rowItems count="6">
    <i>
      <x/>
    </i>
    <i>
      <x v="1"/>
    </i>
    <i>
      <x v="2"/>
    </i>
    <i>
      <x v="3"/>
    </i>
    <i>
      <x v="4"/>
    </i>
    <i t="grand">
      <x/>
    </i>
  </rowItems>
  <colFields count="1">
    <field x="-2"/>
  </colFields>
  <colItems count="2">
    <i>
      <x/>
    </i>
    <i i="1">
      <x v="1"/>
    </i>
  </colItems>
  <dataFields count="2">
    <dataField name="Sum of High" fld="23" baseField="0" baseItem="0"/>
    <dataField name="Sum of Low" fld="24" baseField="0" baseItem="0"/>
  </dataFields>
  <chartFormats count="8">
    <chartFormat chart="30" format="5" series="1">
      <pivotArea type="data" outline="0" fieldPosition="0">
        <references count="1">
          <reference field="4294967294" count="1" selected="0">
            <x v="0"/>
          </reference>
        </references>
      </pivotArea>
    </chartFormat>
    <chartFormat chart="78" format="12" series="1">
      <pivotArea type="data" outline="0" fieldPosition="0">
        <references count="1">
          <reference field="4294967294" count="1" selected="0">
            <x v="0"/>
          </reference>
        </references>
      </pivotArea>
    </chartFormat>
    <chartFormat chart="30" format="6" series="1">
      <pivotArea type="data" outline="0" fieldPosition="0">
        <references count="1">
          <reference field="4294967294" count="1" selected="0">
            <x v="1"/>
          </reference>
        </references>
      </pivotArea>
    </chartFormat>
    <chartFormat chart="87" format="1" series="1">
      <pivotArea type="data" outline="0" fieldPosition="0">
        <references count="1">
          <reference field="4294967294" count="1" selected="0">
            <x v="0"/>
          </reference>
        </references>
      </pivotArea>
    </chartFormat>
    <chartFormat chart="87" format="2" series="1">
      <pivotArea type="data" outline="0" fieldPosition="0">
        <references count="1">
          <reference field="4294967294" count="1" selected="0">
            <x v="1"/>
          </reference>
        </references>
      </pivotArea>
    </chartFormat>
    <chartFormat chart="78" format="13" series="1">
      <pivotArea type="data" outline="0" fieldPosition="0">
        <references count="1">
          <reference field="4294967294" count="1" selected="0">
            <x v="1"/>
          </reference>
        </references>
      </pivotArea>
    </chartFormat>
    <chartFormat chart="88" format="7" series="1">
      <pivotArea type="data" outline="0" fieldPosition="0">
        <references count="1">
          <reference field="4294967294" count="1" selected="0">
            <x v="0"/>
          </reference>
        </references>
      </pivotArea>
    </chartFormat>
    <chartFormat chart="88"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9AE82C2-EC5A-4678-83C6-DBADDD4BDE4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9" firstHeaderRow="1" firstDataRow="1" firstDataCol="1"/>
  <pivotFields count="25">
    <pivotField showAll="0"/>
    <pivotField showAll="0"/>
    <pivotField showAll="0"/>
    <pivotField showAll="0">
      <items count="6">
        <item x="3"/>
        <item x="1"/>
        <item x="0"/>
        <item x="2"/>
        <item x="4"/>
        <item t="default"/>
      </items>
    </pivotField>
    <pivotField showAll="0"/>
    <pivotField showAll="0"/>
    <pivotField dataField="1" showAll="0"/>
    <pivotField axis="axisRow"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s>
  <rowFields count="1">
    <field x="7"/>
  </rowFields>
  <rowItems count="6">
    <i>
      <x/>
    </i>
    <i>
      <x v="1"/>
    </i>
    <i>
      <x v="2"/>
    </i>
    <i>
      <x v="3"/>
    </i>
    <i>
      <x v="4"/>
    </i>
    <i t="grand">
      <x/>
    </i>
  </rowItems>
  <colItems count="1">
    <i/>
  </colItems>
  <dataFields count="1">
    <dataField name="Sum of Total Amount" fld="6" baseField="0" baseItem="0"/>
  </dataFields>
  <chartFormats count="13">
    <chartFormat chart="3"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7" count="1" selected="0">
            <x v="0"/>
          </reference>
        </references>
      </pivotArea>
    </chartFormat>
    <chartFormat chart="8" format="2">
      <pivotArea type="data" outline="0" fieldPosition="0">
        <references count="2">
          <reference field="4294967294" count="1" selected="0">
            <x v="0"/>
          </reference>
          <reference field="7" count="1" selected="0">
            <x v="1"/>
          </reference>
        </references>
      </pivotArea>
    </chartFormat>
    <chartFormat chart="8" format="3">
      <pivotArea type="data" outline="0" fieldPosition="0">
        <references count="2">
          <reference field="4294967294" count="1" selected="0">
            <x v="0"/>
          </reference>
          <reference field="7" count="1" selected="0">
            <x v="2"/>
          </reference>
        </references>
      </pivotArea>
    </chartFormat>
    <chartFormat chart="8" format="4">
      <pivotArea type="data" outline="0" fieldPosition="0">
        <references count="2">
          <reference field="4294967294" count="1" selected="0">
            <x v="0"/>
          </reference>
          <reference field="7" count="1" selected="0">
            <x v="3"/>
          </reference>
        </references>
      </pivotArea>
    </chartFormat>
    <chartFormat chart="8" format="5">
      <pivotArea type="data" outline="0" fieldPosition="0">
        <references count="2">
          <reference field="4294967294" count="1" selected="0">
            <x v="0"/>
          </reference>
          <reference field="7" count="1" selected="0">
            <x v="4"/>
          </reference>
        </references>
      </pivotArea>
    </chartFormat>
    <chartFormat chart="14" format="12" series="1">
      <pivotArea type="data" outline="0" fieldPosition="0">
        <references count="1">
          <reference field="4294967294" count="1" selected="0">
            <x v="0"/>
          </reference>
        </references>
      </pivotArea>
    </chartFormat>
    <chartFormat chart="14" format="13">
      <pivotArea type="data" outline="0" fieldPosition="0">
        <references count="2">
          <reference field="4294967294" count="1" selected="0">
            <x v="0"/>
          </reference>
          <reference field="7" count="1" selected="0">
            <x v="0"/>
          </reference>
        </references>
      </pivotArea>
    </chartFormat>
    <chartFormat chart="14" format="14">
      <pivotArea type="data" outline="0" fieldPosition="0">
        <references count="2">
          <reference field="4294967294" count="1" selected="0">
            <x v="0"/>
          </reference>
          <reference field="7" count="1" selected="0">
            <x v="1"/>
          </reference>
        </references>
      </pivotArea>
    </chartFormat>
    <chartFormat chart="14" format="15">
      <pivotArea type="data" outline="0" fieldPosition="0">
        <references count="2">
          <reference field="4294967294" count="1" selected="0">
            <x v="0"/>
          </reference>
          <reference field="7" count="1" selected="0">
            <x v="2"/>
          </reference>
        </references>
      </pivotArea>
    </chartFormat>
    <chartFormat chart="14" format="16">
      <pivotArea type="data" outline="0" fieldPosition="0">
        <references count="2">
          <reference field="4294967294" count="1" selected="0">
            <x v="0"/>
          </reference>
          <reference field="7" count="1" selected="0">
            <x v="3"/>
          </reference>
        </references>
      </pivotArea>
    </chartFormat>
    <chartFormat chart="14" format="17">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BBF89EF-DF35-404B-8830-F2D6B60B59FF}"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7" firstHeaderRow="1" firstDataRow="1" firstDataCol="1"/>
  <pivotFields count="25">
    <pivotField dataField="1" showAll="0"/>
    <pivotField showAll="0"/>
    <pivotField showAll="0"/>
    <pivotField showAll="0">
      <items count="6">
        <item x="3"/>
        <item x="1"/>
        <item x="0"/>
        <item x="2"/>
        <item x="4"/>
        <item t="default"/>
      </items>
    </pivotField>
    <pivotField showAll="0"/>
    <pivotField showAll="0"/>
    <pivotField showAll="0"/>
    <pivotField showAll="0">
      <items count="6">
        <item x="3"/>
        <item x="0"/>
        <item x="1"/>
        <item x="4"/>
        <item x="2"/>
        <item t="default"/>
      </items>
    </pivotField>
    <pivotField axis="axisRow"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s>
  <rowFields count="1">
    <field x="8"/>
  </rowFields>
  <rowItems count="4">
    <i>
      <x/>
    </i>
    <i>
      <x v="1"/>
    </i>
    <i>
      <x v="2"/>
    </i>
    <i t="grand">
      <x/>
    </i>
  </rowItems>
  <colItems count="1">
    <i/>
  </colItems>
  <dataFields count="1">
    <dataField name="Count of Order ID" fld="0" subtotal="count" baseField="0" baseItem="0"/>
  </dataFields>
  <chartFormats count="8">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8" count="1" selected="0">
            <x v="0"/>
          </reference>
        </references>
      </pivotArea>
    </chartFormat>
    <chartFormat chart="15" format="2">
      <pivotArea type="data" outline="0" fieldPosition="0">
        <references count="2">
          <reference field="4294967294" count="1" selected="0">
            <x v="0"/>
          </reference>
          <reference field="8" count="1" selected="0">
            <x v="1"/>
          </reference>
        </references>
      </pivotArea>
    </chartFormat>
    <chartFormat chart="15" format="3">
      <pivotArea type="data" outline="0" fieldPosition="0">
        <references count="2">
          <reference field="4294967294" count="1" selected="0">
            <x v="0"/>
          </reference>
          <reference field="8" count="1" selected="0">
            <x v="2"/>
          </reference>
        </references>
      </pivotArea>
    </chartFormat>
    <chartFormat chart="21" format="8" series="1">
      <pivotArea type="data" outline="0" fieldPosition="0">
        <references count="1">
          <reference field="4294967294" count="1" selected="0">
            <x v="0"/>
          </reference>
        </references>
      </pivotArea>
    </chartFormat>
    <chartFormat chart="21" format="9">
      <pivotArea type="data" outline="0" fieldPosition="0">
        <references count="2">
          <reference field="4294967294" count="1" selected="0">
            <x v="0"/>
          </reference>
          <reference field="8" count="1" selected="0">
            <x v="0"/>
          </reference>
        </references>
      </pivotArea>
    </chartFormat>
    <chartFormat chart="21" format="10">
      <pivotArea type="data" outline="0" fieldPosition="0">
        <references count="2">
          <reference field="4294967294" count="1" selected="0">
            <x v="0"/>
          </reference>
          <reference field="8" count="1" selected="0">
            <x v="1"/>
          </reference>
        </references>
      </pivotArea>
    </chartFormat>
    <chartFormat chart="21" format="1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D85337C-C18D-4550-BD72-0DB014261B8B}"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16" firstHeaderRow="1" firstDataRow="1" firstDataCol="1"/>
  <pivotFields count="25">
    <pivotField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 axis="axisRow"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Total Amount" fld="6" baseField="0" baseItem="0"/>
  </dataFields>
  <chartFormats count="6">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22" count="1" selected="0">
            <x v="6"/>
          </reference>
        </references>
      </pivotArea>
    </chartFormat>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22" count="1" selected="0">
            <x v="6"/>
          </reference>
        </references>
      </pivotArea>
    </chartFormat>
    <chartFormat chart="10" format="2">
      <pivotArea type="data" outline="0" fieldPosition="0">
        <references count="2">
          <reference field="4294967294" count="1" selected="0">
            <x v="0"/>
          </reference>
          <reference field="22" count="1" selected="0">
            <x v="9"/>
          </reference>
        </references>
      </pivotArea>
    </chartFormat>
    <chartFormat chart="10" format="3">
      <pivotArea type="data" outline="0" fieldPosition="0">
        <references count="2">
          <reference field="4294967294" count="1" selected="0">
            <x v="0"/>
          </reference>
          <reference field="22"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57E106D-829D-4C79-8D69-9CBA2D273A09}"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4" firstHeaderRow="0" firstDataRow="1" firstDataCol="0"/>
  <pivotFields count="25">
    <pivotField dataField="1"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s>
  <rowItems count="1">
    <i/>
  </rowItems>
  <colFields count="1">
    <field x="-2"/>
  </colFields>
  <colItems count="2">
    <i>
      <x/>
    </i>
    <i i="1">
      <x v="1"/>
    </i>
  </colItems>
  <dataFields count="2">
    <dataField name="Count of Order ID" fld="0" subtotal="count" baseField="0" baseItem="0"/>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257155F-ACC0-44FC-A7D7-433AB9ECFBB7}" sourceName="Region">
  <pivotTables>
    <pivotTable tabId="22" name="PivotTable10"/>
    <pivotTable tabId="23" name="PivotTable11"/>
    <pivotTable tabId="24" name="PivotTable12"/>
    <pivotTable tabId="25" name="PivotTable13"/>
    <pivotTable tabId="16" name="PivotTable9"/>
    <pivotTable tabId="29" name="PivotTable16"/>
    <pivotTable tabId="27" name="PivotTable14"/>
    <pivotTable tabId="29" name="PivotTable15"/>
  </pivotTables>
  <data>
    <tabular pivotCacheId="1215228540">
      <items count="5">
        <i x="3" s="1"/>
        <i x="1" s="1"/>
        <i x="0"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DFCDB12E-D911-4491-803B-F9661723D8EB}" sourceName="Payment Method">
  <pivotTables>
    <pivotTable tabId="22" name="PivotTable10"/>
    <pivotTable tabId="23" name="PivotTable11"/>
    <pivotTable tabId="24" name="PivotTable12"/>
    <pivotTable tabId="25" name="PivotTable13"/>
    <pivotTable tabId="16" name="PivotTable9"/>
    <pivotTable tabId="27" name="PivotTable14"/>
    <pivotTable tabId="29" name="PivotTable16"/>
    <pivotTable tabId="29" name="PivotTable15"/>
  </pivotTables>
  <data>
    <tabular pivotCacheId="1215228540">
      <items count="5">
        <i x="3"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FEEC8091-7CDA-481C-A410-6EF5E29D5D16}" sourceName="Delivery Status">
  <pivotTables>
    <pivotTable tabId="22" name="PivotTable10"/>
    <pivotTable tabId="23" name="PivotTable11"/>
    <pivotTable tabId="24" name="PivotTable12"/>
    <pivotTable tabId="25" name="PivotTable13"/>
    <pivotTable tabId="16" name="PivotTable9"/>
    <pivotTable tabId="27" name="PivotTable14"/>
    <pivotTable tabId="29" name="PivotTable16"/>
    <pivotTable tabId="29" name="PivotTable15"/>
  </pivotTables>
  <data>
    <tabular pivotCacheId="121522854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662D159-65BE-4C67-919D-FB8CA55FAD34}" cache="Slicer_Region" caption="Region" style="SlicerStyleLight6" rowHeight="234950"/>
  <slicer name="Payment Method 1" xr10:uid="{5FFDEEF3-310E-4984-B01D-6DC94CFC8BF6}" cache="Slicer_Payment_Method" caption="Payment Method" style="SlicerStyleLight6" rowHeight="234950"/>
  <slicer name="Delivery Status 1" xr10:uid="{16DECDDF-16CA-422D-92C5-22619440347A}" cache="Slicer_Delivery_Status" caption="Delivery Status"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195B39-D270-4665-A992-87B5394196F4}" name="Table1" displayName="Table1" ref="A1:S101" totalsRowShown="0" headerRowDxfId="15" tableBorderDxfId="14">
  <tableColumns count="19">
    <tableColumn id="1" xr3:uid="{AC0F0F9E-916F-41AB-A020-556E1E5B0FBE}" name="Order ID" dataDxfId="13"/>
    <tableColumn id="2" xr3:uid="{EEF1F233-A7F2-4094-AC10-AD9A8E96C796}" name="Customer ID" dataDxfId="12"/>
    <tableColumn id="3" xr3:uid="{D4D4E125-EEF6-4F24-8FD0-A698A906C78D}" name="Product ID" dataDxfId="11"/>
    <tableColumn id="4" xr3:uid="{5D30C445-8DFD-47F5-8902-5CF4B430F414}" name="Region" dataDxfId="10"/>
    <tableColumn id="5" xr3:uid="{A533A86A-AF48-4063-8025-625889B70EF0}" name="Sale Price/Unit" dataDxfId="9"/>
    <tableColumn id="6" xr3:uid="{25069054-64F4-4B69-91A2-45AC67EC71B1}" name="Quantity" dataDxfId="8"/>
    <tableColumn id="7" xr3:uid="{8367DD92-E8CF-40EC-9F14-B83A58925D4C}" name="Total Amount" dataDxfId="7"/>
    <tableColumn id="8" xr3:uid="{CD2B12AB-DC0B-4740-81BD-686A17F0F6A2}" name="Payment Method" dataDxfId="6"/>
    <tableColumn id="9" xr3:uid="{DC1BAF8A-35AD-4101-964A-9D60D0C7F837}" name="Delivery Status" dataDxfId="5"/>
    <tableColumn id="10" xr3:uid="{99B393C2-9D9E-45D0-959A-3D7F71A1FCDE}" name="Fulfillment Partner" dataDxfId="4"/>
    <tableColumn id="11" xr3:uid="{F5EADF5E-0068-46F4-990F-325BF5AF7F12}" name="Order Date" dataDxfId="3"/>
    <tableColumn id="12" xr3:uid="{CB044550-C9B9-4E7F-9A65-176C0D98BBC1}" name="Delivery Date" dataDxfId="2"/>
    <tableColumn id="13" xr3:uid="{D9F2FC00-F103-4172-8737-F4A19114C6C5}" name="Cancel Date" dataDxfId="1"/>
    <tableColumn id="14" xr3:uid="{63EFDC1B-BAB4-437F-A54E-4312795BDE61}" name="Cancellation Status">
      <calculatedColumnFormula>IF(OR(I2="Cancelled",M2&lt;&gt;""),"Yes","No")</calculatedColumnFormula>
    </tableColumn>
    <tableColumn id="15" xr3:uid="{54A42A1A-120F-4FC4-8FC0-091EA20015B0}" name="Product Category">
      <calculatedColumnFormula>_xlfn.XLOOKUP(C2, 'Product Master'!$A$2:$A$23, 'Product Master'!$C$2:$C$23)</calculatedColumnFormula>
    </tableColumn>
    <tableColumn id="16" xr3:uid="{91015C1B-A52E-423A-8350-4ED6452FDC1B}" name="Delivery Time (Days)">
      <calculatedColumnFormula>IF(L2&lt;&gt;"", L2-K2, "NA")</calculatedColumnFormula>
    </tableColumn>
    <tableColumn id="17" xr3:uid="{483AA394-7509-4681-BC89-400D75A9633E}" name="Customer Name">
      <calculatedColumnFormula>IFERROR(_xlfn.XLOOKUP(B2,'Customer Master'!$A$1:$A$50,'Customer Master'!$B$1:$B$50),"Not Found")</calculatedColumnFormula>
    </tableColumn>
    <tableColumn id="18" xr3:uid="{4F39B41D-2E37-4603-849E-74D46251D74B}" name="Delivery Performance">
      <calculatedColumnFormula array="1">_xlfn.IFS(P2="NA", "NA", P2&lt;=2, "Fast", P2&gt;2, "Slow")</calculatedColumnFormula>
    </tableColumn>
    <tableColumn id="19" xr3:uid="{CD7CBAF4-B6C2-48A3-A790-0F78084CA023}" name="Product Name">
      <calculatedColumnFormula>_xlfn.XLOOKUP(C2, 'Product Master'!$A$1:$A$23, 'Product Master'!$B$1:$B$23, "Not Found")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4.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5.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6.xml"/></Relationships>
</file>

<file path=xl/worksheets/_rels/sheet21.xml.rels><?xml version="1.0" encoding="UTF-8" standalone="yes"?>
<Relationships xmlns="http://schemas.openxmlformats.org/package/2006/relationships"><Relationship Id="rId1" Type="http://schemas.openxmlformats.org/officeDocument/2006/relationships/pivotTable" Target="../pivotTables/pivot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3B946-5C2E-45F0-9230-3378927C716B}">
  <dimension ref="A1:S101"/>
  <sheetViews>
    <sheetView workbookViewId="0"/>
  </sheetViews>
  <sheetFormatPr defaultRowHeight="14.4" x14ac:dyDescent="0.3"/>
  <cols>
    <col min="1" max="1" width="9.88671875" customWidth="1"/>
    <col min="2" max="2" width="13.21875" customWidth="1"/>
    <col min="3" max="3" width="11.77734375" customWidth="1"/>
    <col min="4" max="4" width="8.6640625" customWidth="1"/>
    <col min="5" max="5" width="15.33203125" customWidth="1"/>
    <col min="6" max="6" width="10.21875" customWidth="1"/>
    <col min="7" max="7" width="14.44140625" customWidth="1"/>
    <col min="8" max="8" width="17.6640625" customWidth="1"/>
    <col min="9" max="9" width="15.33203125" customWidth="1"/>
    <col min="10" max="10" width="18.44140625" customWidth="1"/>
    <col min="11" max="11" width="12" customWidth="1"/>
    <col min="12" max="12" width="14" customWidth="1"/>
    <col min="13" max="13" width="12.77734375" customWidth="1"/>
    <col min="14" max="14" width="18.88671875" customWidth="1"/>
    <col min="15" max="15" width="17.5546875" customWidth="1"/>
    <col min="16" max="16" width="20" customWidth="1"/>
    <col min="17" max="17" width="16.44140625" customWidth="1"/>
    <col min="18" max="18" width="21" customWidth="1"/>
    <col min="19" max="19" width="16.109375" bestFit="1" customWidth="1"/>
  </cols>
  <sheetData>
    <row r="1" spans="1:19" x14ac:dyDescent="0.3">
      <c r="A1" s="17" t="s">
        <v>51</v>
      </c>
      <c r="B1" s="8" t="s">
        <v>52</v>
      </c>
      <c r="C1" s="8" t="s">
        <v>0</v>
      </c>
      <c r="D1" s="8" t="s">
        <v>1</v>
      </c>
      <c r="E1" s="8" t="s">
        <v>2</v>
      </c>
      <c r="F1" s="8" t="s">
        <v>3</v>
      </c>
      <c r="G1" s="8" t="s">
        <v>4</v>
      </c>
      <c r="H1" s="8" t="s">
        <v>5</v>
      </c>
      <c r="I1" s="8" t="s">
        <v>6</v>
      </c>
      <c r="J1" s="8" t="s">
        <v>7</v>
      </c>
      <c r="K1" s="9" t="s">
        <v>8</v>
      </c>
      <c r="L1" s="9" t="s">
        <v>9</v>
      </c>
      <c r="M1" s="9" t="s">
        <v>10</v>
      </c>
      <c r="N1" s="10" t="s">
        <v>319</v>
      </c>
      <c r="O1" s="10" t="s">
        <v>311</v>
      </c>
      <c r="P1" s="10" t="s">
        <v>339</v>
      </c>
      <c r="Q1" s="10" t="s">
        <v>249</v>
      </c>
      <c r="R1" s="10" t="s">
        <v>312</v>
      </c>
      <c r="S1" s="10" t="s">
        <v>53</v>
      </c>
    </row>
    <row r="2" spans="1:19" x14ac:dyDescent="0.3">
      <c r="A2" s="18" t="s">
        <v>54</v>
      </c>
      <c r="B2" s="1" t="s">
        <v>55</v>
      </c>
      <c r="C2" s="1" t="s">
        <v>11</v>
      </c>
      <c r="D2" s="1" t="s">
        <v>12</v>
      </c>
      <c r="E2" s="1">
        <v>44</v>
      </c>
      <c r="F2" s="1">
        <v>1</v>
      </c>
      <c r="G2" s="1">
        <v>44</v>
      </c>
      <c r="H2" s="1" t="s">
        <v>13</v>
      </c>
      <c r="I2" s="1" t="s">
        <v>14</v>
      </c>
      <c r="J2" s="1" t="s">
        <v>15</v>
      </c>
      <c r="K2" s="2">
        <v>45291</v>
      </c>
      <c r="L2" s="2"/>
      <c r="M2" s="2">
        <v>45293</v>
      </c>
      <c r="N2" t="str">
        <f>IF(OR(I2="Cancelled",M2&lt;&gt;""),"Yes","No")</f>
        <v>Yes</v>
      </c>
      <c r="O2" t="str">
        <f>_xlfn.XLOOKUP(C2, 'Product Master'!$A$2:$A$23, 'Product Master'!$C$2:$C$23)</f>
        <v>Home</v>
      </c>
      <c r="P2" t="str">
        <f>IF(L2&lt;&gt;"", L2-K2, "NA")</f>
        <v>NA</v>
      </c>
      <c r="Q2" t="str">
        <f>IFERROR(_xlfn.XLOOKUP(B2,'Customer Master'!$A$1:$A$50,'Customer Master'!$B$1:$B$50),"Not Found")</f>
        <v>Zoe Mitchell</v>
      </c>
      <c r="R2" t="str" cm="1">
        <f t="array" ref="R2">_xlfn.IFS(P2="NA", "NA", P2&lt;=2, "Fast", P2&gt;2, "Slow")</f>
        <v>NA</v>
      </c>
      <c r="S2" t="str">
        <f>_xlfn.XLOOKUP(C2, 'Product Master'!$A$1:$A$23, 'Product Master'!$B$1:$B$23, "Not Found")</f>
        <v>Lamp</v>
      </c>
    </row>
    <row r="3" spans="1:19" x14ac:dyDescent="0.3">
      <c r="A3" s="18" t="s">
        <v>56</v>
      </c>
      <c r="B3" s="1" t="s">
        <v>57</v>
      </c>
      <c r="C3" s="1" t="s">
        <v>16</v>
      </c>
      <c r="D3" s="1" t="s">
        <v>17</v>
      </c>
      <c r="E3" s="1">
        <v>96</v>
      </c>
      <c r="F3" s="1">
        <v>4</v>
      </c>
      <c r="G3" s="1">
        <v>384</v>
      </c>
      <c r="H3" s="1" t="s">
        <v>18</v>
      </c>
      <c r="I3" s="1" t="s">
        <v>19</v>
      </c>
      <c r="J3" s="1" t="s">
        <v>15</v>
      </c>
      <c r="K3" s="2">
        <v>44979</v>
      </c>
      <c r="L3" s="2">
        <v>44981</v>
      </c>
      <c r="M3" s="2"/>
      <c r="N3" t="str">
        <f t="shared" ref="N3:N66" si="0">IF(OR(I3="Cancelled",M3&lt;&gt;""),"Yes","No")</f>
        <v>No</v>
      </c>
      <c r="O3" t="str">
        <f>_xlfn.XLOOKUP(C3, 'Product Master'!$A$2:$A$23, 'Product Master'!$C$2:$C$23)</f>
        <v>Toys</v>
      </c>
      <c r="P3">
        <f t="shared" ref="P3:P66" si="1">IF(L3&lt;&gt;"", L3-K3, "NA")</f>
        <v>2</v>
      </c>
      <c r="Q3" t="str">
        <f>IFERROR(_xlfn.XLOOKUP(B3,'Customer Master'!$A$1:$A$50,'Customer Master'!$B$1:$B$50),"Not Found")</f>
        <v>Ava White</v>
      </c>
      <c r="R3" t="str" cm="1">
        <f t="array" ref="R3">_xlfn.IFS(P3="NA", "NA", P3&lt;=2, "Fast", P3&gt;2, "Slow")</f>
        <v>Fast</v>
      </c>
      <c r="S3" t="str">
        <f>_xlfn.XLOOKUP(C3, 'Product Master'!$A$1:$A$23, 'Product Master'!$B$1:$B$23, "Not Found")</f>
        <v>Doll House</v>
      </c>
    </row>
    <row r="4" spans="1:19" x14ac:dyDescent="0.3">
      <c r="A4" s="18" t="s">
        <v>58</v>
      </c>
      <c r="B4" s="1" t="s">
        <v>55</v>
      </c>
      <c r="C4" s="1" t="s">
        <v>20</v>
      </c>
      <c r="D4" s="1" t="s">
        <v>21</v>
      </c>
      <c r="E4" s="1">
        <v>194</v>
      </c>
      <c r="F4" s="1">
        <v>4</v>
      </c>
      <c r="G4" s="1">
        <v>776</v>
      </c>
      <c r="H4" s="1" t="s">
        <v>18</v>
      </c>
      <c r="I4" s="1" t="s">
        <v>22</v>
      </c>
      <c r="J4" s="1" t="s">
        <v>23</v>
      </c>
      <c r="K4" s="2">
        <v>45210</v>
      </c>
      <c r="L4" s="2"/>
      <c r="M4" s="2"/>
      <c r="N4" t="str">
        <f t="shared" si="0"/>
        <v>No</v>
      </c>
      <c r="O4" t="str">
        <f>_xlfn.XLOOKUP(C4, 'Product Master'!$A$2:$A$23, 'Product Master'!$C$2:$C$23)</f>
        <v>Home</v>
      </c>
      <c r="P4" t="str">
        <f t="shared" si="1"/>
        <v>NA</v>
      </c>
      <c r="Q4" t="str">
        <f>IFERROR(_xlfn.XLOOKUP(B4,'Customer Master'!$A$1:$A$50,'Customer Master'!$B$1:$B$50),"Not Found")</f>
        <v>Zoe Mitchell</v>
      </c>
      <c r="R4" t="str" cm="1">
        <f t="array" ref="R4">_xlfn.IFS(P4="NA", "NA", P4&lt;=2, "Fast", P4&gt;2, "Slow")</f>
        <v>NA</v>
      </c>
      <c r="S4" t="str">
        <f>_xlfn.XLOOKUP(C4, 'Product Master'!$A$1:$A$23, 'Product Master'!$B$1:$B$23, "Not Found")</f>
        <v>Vacuum Cleaner</v>
      </c>
    </row>
    <row r="5" spans="1:19" x14ac:dyDescent="0.3">
      <c r="A5" s="18" t="s">
        <v>59</v>
      </c>
      <c r="B5" s="1" t="s">
        <v>60</v>
      </c>
      <c r="C5" s="1" t="s">
        <v>20</v>
      </c>
      <c r="D5" s="1" t="s">
        <v>12</v>
      </c>
      <c r="E5" s="1">
        <v>196</v>
      </c>
      <c r="F5" s="1">
        <v>3</v>
      </c>
      <c r="G5" s="1">
        <v>588</v>
      </c>
      <c r="H5" s="1" t="s">
        <v>24</v>
      </c>
      <c r="I5" s="1" t="s">
        <v>14</v>
      </c>
      <c r="J5" s="1" t="s">
        <v>25</v>
      </c>
      <c r="K5" s="2">
        <v>45051</v>
      </c>
      <c r="L5" s="2"/>
      <c r="M5" s="2">
        <v>45057</v>
      </c>
      <c r="N5" t="str">
        <f t="shared" si="0"/>
        <v>Yes</v>
      </c>
      <c r="O5" t="str">
        <f>_xlfn.XLOOKUP(C5, 'Product Master'!$A$2:$A$23, 'Product Master'!$C$2:$C$23)</f>
        <v>Home</v>
      </c>
      <c r="P5" t="str">
        <f t="shared" si="1"/>
        <v>NA</v>
      </c>
      <c r="Q5" t="str">
        <f>IFERROR(_xlfn.XLOOKUP(B5,'Customer Master'!$A$1:$A$50,'Customer Master'!$B$1:$B$50),"Not Found")</f>
        <v>Grace Ward</v>
      </c>
      <c r="R5" t="str" cm="1">
        <f t="array" ref="R5">_xlfn.IFS(P5="NA", "NA", P5&lt;=2, "Fast", P5&gt;2, "Slow")</f>
        <v>NA</v>
      </c>
      <c r="S5" t="str">
        <f>_xlfn.XLOOKUP(C5, 'Product Master'!$A$1:$A$23, 'Product Master'!$B$1:$B$23, "Not Found")</f>
        <v>Vacuum Cleaner</v>
      </c>
    </row>
    <row r="6" spans="1:19" x14ac:dyDescent="0.3">
      <c r="A6" s="18" t="s">
        <v>61</v>
      </c>
      <c r="B6" s="1" t="s">
        <v>62</v>
      </c>
      <c r="C6" s="1" t="s">
        <v>26</v>
      </c>
      <c r="D6" s="1" t="s">
        <v>12</v>
      </c>
      <c r="E6" s="1">
        <v>59</v>
      </c>
      <c r="F6" s="1">
        <v>1</v>
      </c>
      <c r="G6" s="1">
        <v>59</v>
      </c>
      <c r="H6" s="1" t="s">
        <v>24</v>
      </c>
      <c r="I6" s="1" t="s">
        <v>19</v>
      </c>
      <c r="J6" s="1" t="s">
        <v>27</v>
      </c>
      <c r="K6" s="2">
        <v>44959</v>
      </c>
      <c r="L6" s="2">
        <v>44962</v>
      </c>
      <c r="M6" s="2"/>
      <c r="N6" t="str">
        <f t="shared" si="0"/>
        <v>No</v>
      </c>
      <c r="O6" t="str">
        <f>_xlfn.XLOOKUP(C6, 'Product Master'!$A$2:$A$23, 'Product Master'!$C$2:$C$23)</f>
        <v>Fashion</v>
      </c>
      <c r="P6">
        <f t="shared" si="1"/>
        <v>3</v>
      </c>
      <c r="Q6" t="str">
        <f>IFERROR(_xlfn.XLOOKUP(B6,'Customer Master'!$A$1:$A$50,'Customer Master'!$B$1:$B$50),"Not Found")</f>
        <v>Hazel Brooks</v>
      </c>
      <c r="R6" t="str" cm="1">
        <f t="array" ref="R6">_xlfn.IFS(P6="NA", "NA", P6&lt;=2, "Fast", P6&gt;2, "Slow")</f>
        <v>Slow</v>
      </c>
      <c r="S6" t="str">
        <f>_xlfn.XLOOKUP(C6, 'Product Master'!$A$1:$A$23, 'Product Master'!$B$1:$B$23, "Not Found")</f>
        <v>Jeans</v>
      </c>
    </row>
    <row r="7" spans="1:19" x14ac:dyDescent="0.3">
      <c r="A7" s="18" t="s">
        <v>63</v>
      </c>
      <c r="B7" s="1" t="s">
        <v>64</v>
      </c>
      <c r="C7" s="1" t="s">
        <v>26</v>
      </c>
      <c r="D7" s="1" t="s">
        <v>12</v>
      </c>
      <c r="E7" s="1">
        <v>58</v>
      </c>
      <c r="F7" s="1">
        <v>4</v>
      </c>
      <c r="G7" s="1">
        <v>232</v>
      </c>
      <c r="H7" s="1" t="s">
        <v>28</v>
      </c>
      <c r="I7" s="1" t="s">
        <v>14</v>
      </c>
      <c r="J7" s="1" t="s">
        <v>15</v>
      </c>
      <c r="K7" s="2">
        <v>45231</v>
      </c>
      <c r="L7" s="2"/>
      <c r="M7" s="2">
        <v>45232</v>
      </c>
      <c r="N7" t="str">
        <f t="shared" si="0"/>
        <v>Yes</v>
      </c>
      <c r="O7" t="str">
        <f>_xlfn.XLOOKUP(C7, 'Product Master'!$A$2:$A$23, 'Product Master'!$C$2:$C$23)</f>
        <v>Fashion</v>
      </c>
      <c r="P7" t="str">
        <f t="shared" si="1"/>
        <v>NA</v>
      </c>
      <c r="Q7" t="str">
        <f>IFERROR(_xlfn.XLOOKUP(B7,'Customer Master'!$A$1:$A$50,'Customer Master'!$B$1:$B$50),"Not Found")</f>
        <v>Jackson Allen</v>
      </c>
      <c r="R7" t="str" cm="1">
        <f t="array" ref="R7">_xlfn.IFS(P7="NA", "NA", P7&lt;=2, "Fast", P7&gt;2, "Slow")</f>
        <v>NA</v>
      </c>
      <c r="S7" t="str">
        <f>_xlfn.XLOOKUP(C7, 'Product Master'!$A$1:$A$23, 'Product Master'!$B$1:$B$23, "Not Found")</f>
        <v>Jeans</v>
      </c>
    </row>
    <row r="8" spans="1:19" x14ac:dyDescent="0.3">
      <c r="A8" s="18" t="s">
        <v>65</v>
      </c>
      <c r="B8" s="1" t="s">
        <v>66</v>
      </c>
      <c r="C8" s="1" t="s">
        <v>29</v>
      </c>
      <c r="D8" s="1" t="s">
        <v>30</v>
      </c>
      <c r="E8" s="1">
        <v>105</v>
      </c>
      <c r="F8" s="1">
        <v>3</v>
      </c>
      <c r="G8" s="1">
        <v>315</v>
      </c>
      <c r="H8" s="1" t="s">
        <v>31</v>
      </c>
      <c r="I8" s="1" t="s">
        <v>14</v>
      </c>
      <c r="J8" s="1" t="s">
        <v>15</v>
      </c>
      <c r="K8" s="2">
        <v>45152</v>
      </c>
      <c r="L8" s="2"/>
      <c r="M8" s="2">
        <v>45156</v>
      </c>
      <c r="N8" t="str">
        <f t="shared" si="0"/>
        <v>Yes</v>
      </c>
      <c r="O8" t="str">
        <f>_xlfn.XLOOKUP(C8, 'Product Master'!$A$2:$A$23, 'Product Master'!$C$2:$C$23)</f>
        <v>Electronics</v>
      </c>
      <c r="P8" t="str">
        <f t="shared" si="1"/>
        <v>NA</v>
      </c>
      <c r="Q8" t="str">
        <f>IFERROR(_xlfn.XLOOKUP(B8,'Customer Master'!$A$1:$A$50,'Customer Master'!$B$1:$B$50),"Not Found")</f>
        <v>Noah Wilson</v>
      </c>
      <c r="R8" t="str" cm="1">
        <f t="array" ref="R8">_xlfn.IFS(P8="NA", "NA", P8&lt;=2, "Fast", P8&gt;2, "Slow")</f>
        <v>NA</v>
      </c>
      <c r="S8" t="str">
        <f>_xlfn.XLOOKUP(C8, 'Product Master'!$A$1:$A$23, 'Product Master'!$B$1:$B$23, "Not Found")</f>
        <v>Bluetooth Speaker</v>
      </c>
    </row>
    <row r="9" spans="1:19" x14ac:dyDescent="0.3">
      <c r="A9" s="18" t="s">
        <v>67</v>
      </c>
      <c r="B9" s="1" t="s">
        <v>68</v>
      </c>
      <c r="C9" s="1" t="s">
        <v>32</v>
      </c>
      <c r="D9" s="1" t="s">
        <v>33</v>
      </c>
      <c r="E9" s="1">
        <v>37</v>
      </c>
      <c r="F9" s="1">
        <v>5</v>
      </c>
      <c r="G9" s="1">
        <v>185</v>
      </c>
      <c r="H9" s="1" t="s">
        <v>24</v>
      </c>
      <c r="I9" s="1" t="s">
        <v>14</v>
      </c>
      <c r="J9" s="1" t="s">
        <v>15</v>
      </c>
      <c r="K9" s="2">
        <v>45017</v>
      </c>
      <c r="L9" s="2"/>
      <c r="M9" s="2">
        <v>45022</v>
      </c>
      <c r="N9" t="str">
        <f t="shared" si="0"/>
        <v>Yes</v>
      </c>
      <c r="O9" t="str">
        <f>_xlfn.XLOOKUP(C9, 'Product Master'!$A$2:$A$23, 'Product Master'!$C$2:$C$23)</f>
        <v>Home</v>
      </c>
      <c r="P9" t="str">
        <f t="shared" si="1"/>
        <v>NA</v>
      </c>
      <c r="Q9" t="str">
        <f>IFERROR(_xlfn.XLOOKUP(B9,'Customer Master'!$A$1:$A$50,'Customer Master'!$B$1:$B$50),"Not Found")</f>
        <v>Ava Robinson</v>
      </c>
      <c r="R9" t="str" cm="1">
        <f t="array" ref="R9">_xlfn.IFS(P9="NA", "NA", P9&lt;=2, "Fast", P9&gt;2, "Slow")</f>
        <v>NA</v>
      </c>
      <c r="S9" t="str">
        <f>_xlfn.XLOOKUP(C9, 'Product Master'!$A$1:$A$23, 'Product Master'!$B$1:$B$23, "Not Found")</f>
        <v>Wall Clock</v>
      </c>
    </row>
    <row r="10" spans="1:19" x14ac:dyDescent="0.3">
      <c r="A10" s="18" t="s">
        <v>69</v>
      </c>
      <c r="B10" s="1" t="s">
        <v>70</v>
      </c>
      <c r="C10" s="1" t="s">
        <v>34</v>
      </c>
      <c r="D10" s="1" t="s">
        <v>30</v>
      </c>
      <c r="E10" s="1">
        <v>44</v>
      </c>
      <c r="F10" s="1">
        <v>2</v>
      </c>
      <c r="G10" s="1">
        <v>88</v>
      </c>
      <c r="H10" s="1" t="s">
        <v>18</v>
      </c>
      <c r="I10" s="1" t="s">
        <v>22</v>
      </c>
      <c r="J10" s="1" t="s">
        <v>27</v>
      </c>
      <c r="K10" s="2">
        <v>45128</v>
      </c>
      <c r="L10" s="2"/>
      <c r="M10" s="2"/>
      <c r="N10" t="str">
        <f t="shared" si="0"/>
        <v>No</v>
      </c>
      <c r="O10" t="str">
        <f>_xlfn.XLOOKUP(C10, 'Product Master'!$A$2:$A$23, 'Product Master'!$C$2:$C$23)</f>
        <v>Fashion</v>
      </c>
      <c r="P10" t="str">
        <f t="shared" si="1"/>
        <v>NA</v>
      </c>
      <c r="Q10" t="str">
        <f>IFERROR(_xlfn.XLOOKUP(B10,'Customer Master'!$A$1:$A$50,'Customer Master'!$B$1:$B$50),"Not Found")</f>
        <v>Olivia Martinez</v>
      </c>
      <c r="R10" t="str" cm="1">
        <f t="array" ref="R10">_xlfn.IFS(P10="NA", "NA", P10&lt;=2, "Fast", P10&gt;2, "Slow")</f>
        <v>NA</v>
      </c>
      <c r="S10" t="str">
        <f>_xlfn.XLOOKUP(C10, 'Product Master'!$A$1:$A$23, 'Product Master'!$B$1:$B$23, "Not Found")</f>
        <v>Formal Shirt</v>
      </c>
    </row>
    <row r="11" spans="1:19" x14ac:dyDescent="0.3">
      <c r="A11" s="18" t="s">
        <v>71</v>
      </c>
      <c r="B11" s="1" t="s">
        <v>68</v>
      </c>
      <c r="C11" s="1" t="s">
        <v>35</v>
      </c>
      <c r="D11" s="1" t="s">
        <v>21</v>
      </c>
      <c r="E11" s="1">
        <v>141</v>
      </c>
      <c r="F11" s="1">
        <v>4</v>
      </c>
      <c r="G11" s="1">
        <v>564</v>
      </c>
      <c r="H11" s="1" t="s">
        <v>31</v>
      </c>
      <c r="I11" s="1" t="s">
        <v>22</v>
      </c>
      <c r="J11" s="1" t="s">
        <v>15</v>
      </c>
      <c r="K11" s="2">
        <v>45289</v>
      </c>
      <c r="L11" s="2"/>
      <c r="M11" s="2"/>
      <c r="N11" t="str">
        <f t="shared" si="0"/>
        <v>No</v>
      </c>
      <c r="O11" t="str">
        <f>_xlfn.XLOOKUP(C11, 'Product Master'!$A$2:$A$23, 'Product Master'!$C$2:$C$23)</f>
        <v>Home</v>
      </c>
      <c r="P11" t="str">
        <f t="shared" si="1"/>
        <v>NA</v>
      </c>
      <c r="Q11" t="str">
        <f>IFERROR(_xlfn.XLOOKUP(B11,'Customer Master'!$A$1:$A$50,'Customer Master'!$B$1:$B$50),"Not Found")</f>
        <v>Ava Robinson</v>
      </c>
      <c r="R11" t="str" cm="1">
        <f t="array" ref="R11">_xlfn.IFS(P11="NA", "NA", P11&lt;=2, "Fast", P11&gt;2, "Slow")</f>
        <v>NA</v>
      </c>
      <c r="S11" t="str">
        <f>_xlfn.XLOOKUP(C11, 'Product Master'!$A$1:$A$23, 'Product Master'!$B$1:$B$23, "Not Found")</f>
        <v>Cookware Set</v>
      </c>
    </row>
    <row r="12" spans="1:19" x14ac:dyDescent="0.3">
      <c r="A12" s="18" t="s">
        <v>72</v>
      </c>
      <c r="B12" s="1" t="s">
        <v>73</v>
      </c>
      <c r="C12" s="1" t="s">
        <v>36</v>
      </c>
      <c r="D12" s="1" t="s">
        <v>21</v>
      </c>
      <c r="E12" s="1">
        <v>249</v>
      </c>
      <c r="F12" s="1">
        <v>1</v>
      </c>
      <c r="G12" s="1">
        <v>249</v>
      </c>
      <c r="H12" s="1" t="s">
        <v>28</v>
      </c>
      <c r="I12" s="1" t="s">
        <v>14</v>
      </c>
      <c r="J12" s="1" t="s">
        <v>23</v>
      </c>
      <c r="K12" s="2">
        <v>45050</v>
      </c>
      <c r="L12" s="2"/>
      <c r="M12" s="2">
        <v>45054</v>
      </c>
      <c r="N12" t="str">
        <f t="shared" si="0"/>
        <v>Yes</v>
      </c>
      <c r="O12" t="str">
        <f>_xlfn.XLOOKUP(C12, 'Product Master'!$A$2:$A$23, 'Product Master'!$C$2:$C$23)</f>
        <v>Electronics</v>
      </c>
      <c r="P12" t="str">
        <f t="shared" si="1"/>
        <v>NA</v>
      </c>
      <c r="Q12" t="str">
        <f>IFERROR(_xlfn.XLOOKUP(B12,'Customer Master'!$A$1:$A$50,'Customer Master'!$B$1:$B$50),"Not Found")</f>
        <v>Emily Johnson</v>
      </c>
      <c r="R12" t="str" cm="1">
        <f t="array" ref="R12">_xlfn.IFS(P12="NA", "NA", P12&lt;=2, "Fast", P12&gt;2, "Slow")</f>
        <v>NA</v>
      </c>
      <c r="S12" t="str">
        <f>_xlfn.XLOOKUP(C12, 'Product Master'!$A$1:$A$23, 'Product Master'!$B$1:$B$23, "Not Found")</f>
        <v>Smartwatch</v>
      </c>
    </row>
    <row r="13" spans="1:19" x14ac:dyDescent="0.3">
      <c r="A13" s="18" t="s">
        <v>74</v>
      </c>
      <c r="B13" s="1" t="s">
        <v>75</v>
      </c>
      <c r="C13" s="1" t="s">
        <v>36</v>
      </c>
      <c r="D13" s="1" t="s">
        <v>30</v>
      </c>
      <c r="E13" s="1">
        <v>247</v>
      </c>
      <c r="F13" s="1">
        <v>3</v>
      </c>
      <c r="G13" s="1">
        <v>741</v>
      </c>
      <c r="H13" s="1" t="s">
        <v>28</v>
      </c>
      <c r="I13" s="1" t="s">
        <v>22</v>
      </c>
      <c r="J13" s="1" t="s">
        <v>37</v>
      </c>
      <c r="K13" s="2">
        <v>45132</v>
      </c>
      <c r="L13" s="2"/>
      <c r="M13" s="2"/>
      <c r="N13" t="str">
        <f t="shared" si="0"/>
        <v>No</v>
      </c>
      <c r="O13" t="str">
        <f>_xlfn.XLOOKUP(C13, 'Product Master'!$A$2:$A$23, 'Product Master'!$C$2:$C$23)</f>
        <v>Electronics</v>
      </c>
      <c r="P13" t="str">
        <f t="shared" si="1"/>
        <v>NA</v>
      </c>
      <c r="Q13" t="str">
        <f>IFERROR(_xlfn.XLOOKUP(B13,'Customer Master'!$A$1:$A$50,'Customer Master'!$B$1:$B$50),"Not Found")</f>
        <v>Emily Johnson</v>
      </c>
      <c r="R13" t="str" cm="1">
        <f t="array" ref="R13">_xlfn.IFS(P13="NA", "NA", P13&lt;=2, "Fast", P13&gt;2, "Slow")</f>
        <v>NA</v>
      </c>
      <c r="S13" t="str">
        <f>_xlfn.XLOOKUP(C13, 'Product Master'!$A$1:$A$23, 'Product Master'!$B$1:$B$23, "Not Found")</f>
        <v>Smartwatch</v>
      </c>
    </row>
    <row r="14" spans="1:19" x14ac:dyDescent="0.3">
      <c r="A14" s="18" t="s">
        <v>76</v>
      </c>
      <c r="B14" s="1" t="s">
        <v>77</v>
      </c>
      <c r="C14" s="1" t="s">
        <v>38</v>
      </c>
      <c r="D14" s="1" t="s">
        <v>30</v>
      </c>
      <c r="E14" s="1">
        <v>96</v>
      </c>
      <c r="F14" s="1">
        <v>1</v>
      </c>
      <c r="G14" s="1">
        <v>96</v>
      </c>
      <c r="H14" s="1" t="s">
        <v>13</v>
      </c>
      <c r="I14" s="1" t="s">
        <v>14</v>
      </c>
      <c r="J14" s="1" t="s">
        <v>27</v>
      </c>
      <c r="K14" s="2">
        <v>44982</v>
      </c>
      <c r="L14" s="2"/>
      <c r="M14" s="2">
        <v>44985</v>
      </c>
      <c r="N14" t="str">
        <f t="shared" si="0"/>
        <v>Yes</v>
      </c>
      <c r="O14" t="str">
        <f>_xlfn.XLOOKUP(C14, 'Product Master'!$A$2:$A$23, 'Product Master'!$C$2:$C$23)</f>
        <v>Fashion</v>
      </c>
      <c r="P14" t="str">
        <f t="shared" si="1"/>
        <v>NA</v>
      </c>
      <c r="Q14" t="str">
        <f>IFERROR(_xlfn.XLOOKUP(B14,'Customer Master'!$A$1:$A$50,'Customer Master'!$B$1:$B$50),"Not Found")</f>
        <v>Charlotte Reed</v>
      </c>
      <c r="R14" t="str" cm="1">
        <f t="array" ref="R14">_xlfn.IFS(P14="NA", "NA", P14&lt;=2, "Fast", P14&gt;2, "Slow")</f>
        <v>NA</v>
      </c>
      <c r="S14" t="str">
        <f>_xlfn.XLOOKUP(C14, 'Product Master'!$A$1:$A$23, 'Product Master'!$B$1:$B$23, "Not Found")</f>
        <v>Shoes</v>
      </c>
    </row>
    <row r="15" spans="1:19" x14ac:dyDescent="0.3">
      <c r="A15" s="18" t="s">
        <v>78</v>
      </c>
      <c r="B15" s="1" t="s">
        <v>79</v>
      </c>
      <c r="C15" s="1" t="s">
        <v>39</v>
      </c>
      <c r="D15" s="1" t="s">
        <v>33</v>
      </c>
      <c r="E15" s="1">
        <v>74</v>
      </c>
      <c r="F15" s="1">
        <v>5</v>
      </c>
      <c r="G15" s="1">
        <v>370</v>
      </c>
      <c r="H15" s="1" t="s">
        <v>13</v>
      </c>
      <c r="I15" s="1" t="s">
        <v>14</v>
      </c>
      <c r="J15" s="1" t="s">
        <v>27</v>
      </c>
      <c r="K15" s="2">
        <v>44981</v>
      </c>
      <c r="L15" s="2"/>
      <c r="M15" s="2">
        <v>44982</v>
      </c>
      <c r="N15" t="str">
        <f t="shared" si="0"/>
        <v>Yes</v>
      </c>
      <c r="O15" t="str">
        <f>_xlfn.XLOOKUP(C15, 'Product Master'!$A$2:$A$23, 'Product Master'!$C$2:$C$23)</f>
        <v>Electronics</v>
      </c>
      <c r="P15" t="str">
        <f t="shared" si="1"/>
        <v>NA</v>
      </c>
      <c r="Q15" t="str">
        <f>IFERROR(_xlfn.XLOOKUP(B15,'Customer Master'!$A$1:$A$50,'Customer Master'!$B$1:$B$50),"Not Found")</f>
        <v>Hazel Rivera</v>
      </c>
      <c r="R15" t="str" cm="1">
        <f t="array" ref="R15">_xlfn.IFS(P15="NA", "NA", P15&lt;=2, "Fast", P15&gt;2, "Slow")</f>
        <v>NA</v>
      </c>
      <c r="S15" t="str">
        <f>_xlfn.XLOOKUP(C15, 'Product Master'!$A$1:$A$23, 'Product Master'!$B$1:$B$23, "Not Found")</f>
        <v>Gaming Mouse</v>
      </c>
    </row>
    <row r="16" spans="1:19" x14ac:dyDescent="0.3">
      <c r="A16" s="18" t="s">
        <v>80</v>
      </c>
      <c r="B16" s="1" t="s">
        <v>79</v>
      </c>
      <c r="C16" s="1" t="s">
        <v>40</v>
      </c>
      <c r="D16" s="1" t="s">
        <v>21</v>
      </c>
      <c r="E16" s="1">
        <v>27</v>
      </c>
      <c r="F16" s="1">
        <v>1</v>
      </c>
      <c r="G16" s="1">
        <v>27</v>
      </c>
      <c r="H16" s="1" t="s">
        <v>18</v>
      </c>
      <c r="I16" s="1" t="s">
        <v>14</v>
      </c>
      <c r="J16" s="1" t="s">
        <v>27</v>
      </c>
      <c r="K16" s="2">
        <v>45164</v>
      </c>
      <c r="L16" s="2"/>
      <c r="M16" s="2">
        <v>45171</v>
      </c>
      <c r="N16" t="str">
        <f t="shared" si="0"/>
        <v>Yes</v>
      </c>
      <c r="O16" t="str">
        <f>_xlfn.XLOOKUP(C16, 'Product Master'!$A$2:$A$23, 'Product Master'!$C$2:$C$23)</f>
        <v>Fashion</v>
      </c>
      <c r="P16" t="str">
        <f t="shared" si="1"/>
        <v>NA</v>
      </c>
      <c r="Q16" t="str">
        <f>IFERROR(_xlfn.XLOOKUP(B16,'Customer Master'!$A$1:$A$50,'Customer Master'!$B$1:$B$50),"Not Found")</f>
        <v>Hazel Rivera</v>
      </c>
      <c r="R16" t="str" cm="1">
        <f t="array" ref="R16">_xlfn.IFS(P16="NA", "NA", P16&lt;=2, "Fast", P16&gt;2, "Slow")</f>
        <v>NA</v>
      </c>
      <c r="S16" t="str">
        <f>_xlfn.XLOOKUP(C16, 'Product Master'!$A$1:$A$23, 'Product Master'!$B$1:$B$23, "Not Found")</f>
        <v>T-Shirt</v>
      </c>
    </row>
    <row r="17" spans="1:19" x14ac:dyDescent="0.3">
      <c r="A17" s="18" t="s">
        <v>81</v>
      </c>
      <c r="B17" s="1" t="s">
        <v>82</v>
      </c>
      <c r="C17" s="1" t="s">
        <v>40</v>
      </c>
      <c r="D17" s="1" t="s">
        <v>21</v>
      </c>
      <c r="E17" s="1">
        <v>27</v>
      </c>
      <c r="F17" s="1">
        <v>3</v>
      </c>
      <c r="G17" s="1">
        <v>81</v>
      </c>
      <c r="H17" s="1" t="s">
        <v>31</v>
      </c>
      <c r="I17" s="1" t="s">
        <v>22</v>
      </c>
      <c r="J17" s="1" t="s">
        <v>27</v>
      </c>
      <c r="K17" s="2">
        <v>44970</v>
      </c>
      <c r="L17" s="2"/>
      <c r="M17" s="2"/>
      <c r="N17" t="str">
        <f t="shared" si="0"/>
        <v>No</v>
      </c>
      <c r="O17" t="str">
        <f>_xlfn.XLOOKUP(C17, 'Product Master'!$A$2:$A$23, 'Product Master'!$C$2:$C$23)</f>
        <v>Fashion</v>
      </c>
      <c r="P17" t="str">
        <f t="shared" si="1"/>
        <v>NA</v>
      </c>
      <c r="Q17" t="str">
        <f>IFERROR(_xlfn.XLOOKUP(B17,'Customer Master'!$A$1:$A$50,'Customer Master'!$B$1:$B$50),"Not Found")</f>
        <v>Scarlett Murphy</v>
      </c>
      <c r="R17" t="str" cm="1">
        <f t="array" ref="R17">_xlfn.IFS(P17="NA", "NA", P17&lt;=2, "Fast", P17&gt;2, "Slow")</f>
        <v>NA</v>
      </c>
      <c r="S17" t="str">
        <f>_xlfn.XLOOKUP(C17, 'Product Master'!$A$1:$A$23, 'Product Master'!$B$1:$B$23, "Not Found")</f>
        <v>T-Shirt</v>
      </c>
    </row>
    <row r="18" spans="1:19" x14ac:dyDescent="0.3">
      <c r="A18" s="18" t="s">
        <v>83</v>
      </c>
      <c r="B18" s="1" t="s">
        <v>75</v>
      </c>
      <c r="C18" s="1" t="s">
        <v>41</v>
      </c>
      <c r="D18" s="1" t="s">
        <v>17</v>
      </c>
      <c r="E18" s="1">
        <v>21</v>
      </c>
      <c r="F18" s="1">
        <v>3</v>
      </c>
      <c r="G18" s="1">
        <v>63</v>
      </c>
      <c r="H18" s="1" t="s">
        <v>18</v>
      </c>
      <c r="I18" s="1" t="s">
        <v>19</v>
      </c>
      <c r="J18" s="1" t="s">
        <v>15</v>
      </c>
      <c r="K18" s="2">
        <v>45105</v>
      </c>
      <c r="L18" s="2">
        <v>45108</v>
      </c>
      <c r="M18" s="2"/>
      <c r="N18" t="str">
        <f t="shared" si="0"/>
        <v>No</v>
      </c>
      <c r="O18" t="str">
        <f>_xlfn.XLOOKUP(C18, 'Product Master'!$A$2:$A$23, 'Product Master'!$C$2:$C$23)</f>
        <v>Books</v>
      </c>
      <c r="P18">
        <f t="shared" si="1"/>
        <v>3</v>
      </c>
      <c r="Q18" t="str">
        <f>IFERROR(_xlfn.XLOOKUP(B18,'Customer Master'!$A$1:$A$50,'Customer Master'!$B$1:$B$50),"Not Found")</f>
        <v>Emily Johnson</v>
      </c>
      <c r="R18" t="str" cm="1">
        <f t="array" ref="R18">_xlfn.IFS(P18="NA", "NA", P18&lt;=2, "Fast", P18&gt;2, "Slow")</f>
        <v>Slow</v>
      </c>
      <c r="S18" t="str">
        <f>_xlfn.XLOOKUP(C18, 'Product Master'!$A$1:$A$23, 'Product Master'!$B$1:$B$23, "Not Found")</f>
        <v>Novel</v>
      </c>
    </row>
    <row r="19" spans="1:19" x14ac:dyDescent="0.3">
      <c r="A19" s="18" t="s">
        <v>84</v>
      </c>
      <c r="B19" s="1" t="s">
        <v>85</v>
      </c>
      <c r="C19" s="1" t="s">
        <v>42</v>
      </c>
      <c r="D19" s="1" t="s">
        <v>33</v>
      </c>
      <c r="E19" s="1">
        <v>70</v>
      </c>
      <c r="F19" s="1">
        <v>5</v>
      </c>
      <c r="G19" s="1">
        <v>350</v>
      </c>
      <c r="H19" s="1" t="s">
        <v>24</v>
      </c>
      <c r="I19" s="1" t="s">
        <v>22</v>
      </c>
      <c r="J19" s="1" t="s">
        <v>27</v>
      </c>
      <c r="K19" s="2">
        <v>45258</v>
      </c>
      <c r="L19" s="2"/>
      <c r="M19" s="2"/>
      <c r="N19" t="str">
        <f t="shared" si="0"/>
        <v>No</v>
      </c>
      <c r="O19" t="str">
        <f>_xlfn.XLOOKUP(C19, 'Product Master'!$A$2:$A$23, 'Product Master'!$C$2:$C$23)</f>
        <v>Books</v>
      </c>
      <c r="P19" t="str">
        <f t="shared" si="1"/>
        <v>NA</v>
      </c>
      <c r="Q19" t="str">
        <f>IFERROR(_xlfn.XLOOKUP(B19,'Customer Master'!$A$1:$A$50,'Customer Master'!$B$1:$B$50),"Not Found")</f>
        <v>Mason Hall</v>
      </c>
      <c r="R19" t="str" cm="1">
        <f t="array" ref="R19">_xlfn.IFS(P19="NA", "NA", P19&lt;=2, "Fast", P19&gt;2, "Slow")</f>
        <v>NA</v>
      </c>
      <c r="S19" t="str">
        <f>_xlfn.XLOOKUP(C19, 'Product Master'!$A$1:$A$23, 'Product Master'!$B$1:$B$23, "Not Found")</f>
        <v>Textbook</v>
      </c>
    </row>
    <row r="20" spans="1:19" x14ac:dyDescent="0.3">
      <c r="A20" s="18" t="s">
        <v>86</v>
      </c>
      <c r="B20" s="1" t="s">
        <v>87</v>
      </c>
      <c r="C20" s="1" t="s">
        <v>38</v>
      </c>
      <c r="D20" s="1" t="s">
        <v>21</v>
      </c>
      <c r="E20" s="1">
        <v>94</v>
      </c>
      <c r="F20" s="1">
        <v>4</v>
      </c>
      <c r="G20" s="1">
        <v>376</v>
      </c>
      <c r="H20" s="1" t="s">
        <v>18</v>
      </c>
      <c r="I20" s="1" t="s">
        <v>22</v>
      </c>
      <c r="J20" s="1" t="s">
        <v>23</v>
      </c>
      <c r="K20" s="2">
        <v>45163</v>
      </c>
      <c r="L20" s="2"/>
      <c r="M20" s="2"/>
      <c r="N20" t="str">
        <f t="shared" si="0"/>
        <v>No</v>
      </c>
      <c r="O20" t="str">
        <f>_xlfn.XLOOKUP(C20, 'Product Master'!$A$2:$A$23, 'Product Master'!$C$2:$C$23)</f>
        <v>Fashion</v>
      </c>
      <c r="P20" t="str">
        <f t="shared" si="1"/>
        <v>NA</v>
      </c>
      <c r="Q20" t="str">
        <f>IFERROR(_xlfn.XLOOKUP(B20,'Customer Master'!$A$1:$A$50,'Customer Master'!$B$1:$B$50),"Not Found")</f>
        <v>Jacob Price</v>
      </c>
      <c r="R20" t="str" cm="1">
        <f t="array" ref="R20">_xlfn.IFS(P20="NA", "NA", P20&lt;=2, "Fast", P20&gt;2, "Slow")</f>
        <v>NA</v>
      </c>
      <c r="S20" t="str">
        <f>_xlfn.XLOOKUP(C20, 'Product Master'!$A$1:$A$23, 'Product Master'!$B$1:$B$23, "Not Found")</f>
        <v>Shoes</v>
      </c>
    </row>
    <row r="21" spans="1:19" x14ac:dyDescent="0.3">
      <c r="A21" s="18" t="s">
        <v>88</v>
      </c>
      <c r="B21" s="1" t="s">
        <v>89</v>
      </c>
      <c r="C21" s="1" t="s">
        <v>43</v>
      </c>
      <c r="D21" s="1" t="s">
        <v>12</v>
      </c>
      <c r="E21" s="1">
        <v>813</v>
      </c>
      <c r="F21" s="1">
        <v>2</v>
      </c>
      <c r="G21" s="1">
        <v>1626</v>
      </c>
      <c r="H21" s="1" t="s">
        <v>18</v>
      </c>
      <c r="I21" s="1" t="s">
        <v>22</v>
      </c>
      <c r="J21" s="1" t="s">
        <v>37</v>
      </c>
      <c r="K21" s="2">
        <v>45028</v>
      </c>
      <c r="L21" s="2"/>
      <c r="M21" s="2"/>
      <c r="N21" t="str">
        <f t="shared" si="0"/>
        <v>No</v>
      </c>
      <c r="O21" t="str">
        <f>_xlfn.XLOOKUP(C21, 'Product Master'!$A$2:$A$23, 'Product Master'!$C$2:$C$23)</f>
        <v>Electronics</v>
      </c>
      <c r="P21" t="str">
        <f t="shared" si="1"/>
        <v>NA</v>
      </c>
      <c r="Q21" t="str">
        <f>IFERROR(_xlfn.XLOOKUP(B21,'Customer Master'!$A$1:$A$50,'Customer Master'!$B$1:$B$50),"Not Found")</f>
        <v>Emma King</v>
      </c>
      <c r="R21" t="str" cm="1">
        <f t="array" ref="R21">_xlfn.IFS(P21="NA", "NA", P21&lt;=2, "Fast", P21&gt;2, "Slow")</f>
        <v>NA</v>
      </c>
      <c r="S21" t="str">
        <f>_xlfn.XLOOKUP(C21, 'Product Master'!$A$1:$A$23, 'Product Master'!$B$1:$B$23, "Not Found")</f>
        <v>Smartphone</v>
      </c>
    </row>
    <row r="22" spans="1:19" x14ac:dyDescent="0.3">
      <c r="A22" s="18" t="s">
        <v>90</v>
      </c>
      <c r="B22" s="1" t="s">
        <v>70</v>
      </c>
      <c r="C22" s="1" t="s">
        <v>41</v>
      </c>
      <c r="D22" s="1" t="s">
        <v>30</v>
      </c>
      <c r="E22" s="1">
        <v>21</v>
      </c>
      <c r="F22" s="1">
        <v>4</v>
      </c>
      <c r="G22" s="1">
        <v>84</v>
      </c>
      <c r="H22" s="1" t="s">
        <v>24</v>
      </c>
      <c r="I22" s="1" t="s">
        <v>22</v>
      </c>
      <c r="J22" s="1" t="s">
        <v>27</v>
      </c>
      <c r="K22" s="2">
        <v>45201</v>
      </c>
      <c r="L22" s="2"/>
      <c r="M22" s="2"/>
      <c r="N22" t="str">
        <f t="shared" si="0"/>
        <v>No</v>
      </c>
      <c r="O22" t="str">
        <f>_xlfn.XLOOKUP(C22, 'Product Master'!$A$2:$A$23, 'Product Master'!$C$2:$C$23)</f>
        <v>Books</v>
      </c>
      <c r="P22" t="str">
        <f t="shared" si="1"/>
        <v>NA</v>
      </c>
      <c r="Q22" t="str">
        <f>IFERROR(_xlfn.XLOOKUP(B22,'Customer Master'!$A$1:$A$50,'Customer Master'!$B$1:$B$50),"Not Found")</f>
        <v>Olivia Martinez</v>
      </c>
      <c r="R22" t="str" cm="1">
        <f t="array" ref="R22">_xlfn.IFS(P22="NA", "NA", P22&lt;=2, "Fast", P22&gt;2, "Slow")</f>
        <v>NA</v>
      </c>
      <c r="S22" t="str">
        <f>_xlfn.XLOOKUP(C22, 'Product Master'!$A$1:$A$23, 'Product Master'!$B$1:$B$23, "Not Found")</f>
        <v>Novel</v>
      </c>
    </row>
    <row r="23" spans="1:19" x14ac:dyDescent="0.3">
      <c r="A23" s="18" t="s">
        <v>91</v>
      </c>
      <c r="B23" s="1" t="s">
        <v>77</v>
      </c>
      <c r="C23" s="1" t="s">
        <v>11</v>
      </c>
      <c r="D23" s="1" t="s">
        <v>33</v>
      </c>
      <c r="E23" s="1">
        <v>46</v>
      </c>
      <c r="F23" s="1">
        <v>5</v>
      </c>
      <c r="G23" s="1">
        <v>230</v>
      </c>
      <c r="H23" s="1" t="s">
        <v>24</v>
      </c>
      <c r="I23" s="1" t="s">
        <v>22</v>
      </c>
      <c r="J23" s="1" t="s">
        <v>23</v>
      </c>
      <c r="K23" s="2">
        <v>45239</v>
      </c>
      <c r="L23" s="2"/>
      <c r="M23" s="2"/>
      <c r="N23" t="str">
        <f t="shared" si="0"/>
        <v>No</v>
      </c>
      <c r="O23" t="str">
        <f>_xlfn.XLOOKUP(C23, 'Product Master'!$A$2:$A$23, 'Product Master'!$C$2:$C$23)</f>
        <v>Home</v>
      </c>
      <c r="P23" t="str">
        <f t="shared" si="1"/>
        <v>NA</v>
      </c>
      <c r="Q23" t="str">
        <f>IFERROR(_xlfn.XLOOKUP(B23,'Customer Master'!$A$1:$A$50,'Customer Master'!$B$1:$B$50),"Not Found")</f>
        <v>Charlotte Reed</v>
      </c>
      <c r="R23" t="str" cm="1">
        <f t="array" ref="R23">_xlfn.IFS(P23="NA", "NA", P23&lt;=2, "Fast", P23&gt;2, "Slow")</f>
        <v>NA</v>
      </c>
      <c r="S23" t="str">
        <f>_xlfn.XLOOKUP(C23, 'Product Master'!$A$1:$A$23, 'Product Master'!$B$1:$B$23, "Not Found")</f>
        <v>Lamp</v>
      </c>
    </row>
    <row r="24" spans="1:19" x14ac:dyDescent="0.3">
      <c r="A24" s="18" t="s">
        <v>92</v>
      </c>
      <c r="B24" s="1" t="s">
        <v>93</v>
      </c>
      <c r="C24" s="1" t="s">
        <v>26</v>
      </c>
      <c r="D24" s="1" t="s">
        <v>33</v>
      </c>
      <c r="E24" s="1">
        <v>58</v>
      </c>
      <c r="F24" s="1">
        <v>3</v>
      </c>
      <c r="G24" s="1">
        <v>174</v>
      </c>
      <c r="H24" s="1" t="s">
        <v>28</v>
      </c>
      <c r="I24" s="1" t="s">
        <v>14</v>
      </c>
      <c r="J24" s="1" t="s">
        <v>27</v>
      </c>
      <c r="K24" s="2">
        <v>44970</v>
      </c>
      <c r="L24" s="2"/>
      <c r="M24" s="2">
        <v>44971</v>
      </c>
      <c r="N24" t="str">
        <f t="shared" si="0"/>
        <v>Yes</v>
      </c>
      <c r="O24" t="str">
        <f>_xlfn.XLOOKUP(C24, 'Product Master'!$A$2:$A$23, 'Product Master'!$C$2:$C$23)</f>
        <v>Fashion</v>
      </c>
      <c r="P24" t="str">
        <f t="shared" si="1"/>
        <v>NA</v>
      </c>
      <c r="Q24" t="str">
        <f>IFERROR(_xlfn.XLOOKUP(B24,'Customer Master'!$A$1:$A$50,'Customer Master'!$B$1:$B$50),"Not Found")</f>
        <v>Elijah Lewis</v>
      </c>
      <c r="R24" t="str" cm="1">
        <f t="array" ref="R24">_xlfn.IFS(P24="NA", "NA", P24&lt;=2, "Fast", P24&gt;2, "Slow")</f>
        <v>NA</v>
      </c>
      <c r="S24" t="str">
        <f>_xlfn.XLOOKUP(C24, 'Product Master'!$A$1:$A$23, 'Product Master'!$B$1:$B$23, "Not Found")</f>
        <v>Jeans</v>
      </c>
    </row>
    <row r="25" spans="1:19" x14ac:dyDescent="0.3">
      <c r="A25" s="18" t="s">
        <v>94</v>
      </c>
      <c r="B25" s="1" t="s">
        <v>95</v>
      </c>
      <c r="C25" s="1" t="s">
        <v>38</v>
      </c>
      <c r="D25" s="1" t="s">
        <v>33</v>
      </c>
      <c r="E25" s="1">
        <v>96</v>
      </c>
      <c r="F25" s="1">
        <v>5</v>
      </c>
      <c r="G25" s="1">
        <v>480</v>
      </c>
      <c r="H25" s="1" t="s">
        <v>28</v>
      </c>
      <c r="I25" s="1" t="s">
        <v>19</v>
      </c>
      <c r="J25" s="1" t="s">
        <v>27</v>
      </c>
      <c r="K25" s="2">
        <v>45232</v>
      </c>
      <c r="L25" s="2">
        <v>45235</v>
      </c>
      <c r="M25" s="2"/>
      <c r="N25" t="str">
        <f t="shared" si="0"/>
        <v>No</v>
      </c>
      <c r="O25" t="str">
        <f>_xlfn.XLOOKUP(C25, 'Product Master'!$A$2:$A$23, 'Product Master'!$C$2:$C$23)</f>
        <v>Fashion</v>
      </c>
      <c r="P25">
        <f t="shared" si="1"/>
        <v>3</v>
      </c>
      <c r="Q25" t="str">
        <f>IFERROR(_xlfn.XLOOKUP(B25,'Customer Master'!$A$1:$A$50,'Customer Master'!$B$1:$B$50),"Not Found")</f>
        <v>Lily Bennett</v>
      </c>
      <c r="R25" t="str" cm="1">
        <f t="array" ref="R25">_xlfn.IFS(P25="NA", "NA", P25&lt;=2, "Fast", P25&gt;2, "Slow")</f>
        <v>Slow</v>
      </c>
      <c r="S25" t="str">
        <f>_xlfn.XLOOKUP(C25, 'Product Master'!$A$1:$A$23, 'Product Master'!$B$1:$B$23, "Not Found")</f>
        <v>Shoes</v>
      </c>
    </row>
    <row r="26" spans="1:19" x14ac:dyDescent="0.3">
      <c r="A26" s="18" t="s">
        <v>96</v>
      </c>
      <c r="B26" s="1" t="s">
        <v>97</v>
      </c>
      <c r="C26" s="1" t="s">
        <v>44</v>
      </c>
      <c r="D26" s="1" t="s">
        <v>21</v>
      </c>
      <c r="E26" s="1">
        <v>43</v>
      </c>
      <c r="F26" s="1">
        <v>1</v>
      </c>
      <c r="G26" s="1">
        <v>43</v>
      </c>
      <c r="H26" s="1" t="s">
        <v>31</v>
      </c>
      <c r="I26" s="1" t="s">
        <v>19</v>
      </c>
      <c r="J26" s="1" t="s">
        <v>27</v>
      </c>
      <c r="K26" s="2">
        <v>45074</v>
      </c>
      <c r="L26" s="2">
        <v>45076</v>
      </c>
      <c r="M26" s="2"/>
      <c r="N26" t="str">
        <f t="shared" si="0"/>
        <v>No</v>
      </c>
      <c r="O26" t="str">
        <f>_xlfn.XLOOKUP(C26, 'Product Master'!$A$2:$A$23, 'Product Master'!$C$2:$C$23)</f>
        <v>Toys</v>
      </c>
      <c r="P26">
        <f t="shared" si="1"/>
        <v>2</v>
      </c>
      <c r="Q26" t="str">
        <f>IFERROR(_xlfn.XLOOKUP(B26,'Customer Master'!$A$1:$A$50,'Customer Master'!$B$1:$B$50),"Not Found")</f>
        <v>Benjamin Clark</v>
      </c>
      <c r="R26" t="str" cm="1">
        <f t="array" ref="R26">_xlfn.IFS(P26="NA", "NA", P26&lt;=2, "Fast", P26&gt;2, "Slow")</f>
        <v>Fast</v>
      </c>
      <c r="S26" t="str">
        <f>_xlfn.XLOOKUP(C26, 'Product Master'!$A$1:$A$23, 'Product Master'!$B$1:$B$23, "Not Found")</f>
        <v>Action Figure</v>
      </c>
    </row>
    <row r="27" spans="1:19" x14ac:dyDescent="0.3">
      <c r="A27" s="18" t="s">
        <v>98</v>
      </c>
      <c r="B27" s="1" t="s">
        <v>62</v>
      </c>
      <c r="C27" s="1" t="s">
        <v>45</v>
      </c>
      <c r="D27" s="1" t="s">
        <v>21</v>
      </c>
      <c r="E27" s="1">
        <v>64</v>
      </c>
      <c r="F27" s="1">
        <v>4</v>
      </c>
      <c r="G27" s="1">
        <v>256</v>
      </c>
      <c r="H27" s="1" t="s">
        <v>31</v>
      </c>
      <c r="I27" s="1" t="s">
        <v>19</v>
      </c>
      <c r="J27" s="1" t="s">
        <v>23</v>
      </c>
      <c r="K27" s="2">
        <v>45214</v>
      </c>
      <c r="L27" s="2">
        <v>45220</v>
      </c>
      <c r="M27" s="2"/>
      <c r="N27" t="str">
        <f t="shared" si="0"/>
        <v>No</v>
      </c>
      <c r="O27" t="str">
        <f>_xlfn.XLOOKUP(C27, 'Product Master'!$A$2:$A$23, 'Product Master'!$C$2:$C$23)</f>
        <v>Fashion</v>
      </c>
      <c r="P27">
        <f t="shared" si="1"/>
        <v>6</v>
      </c>
      <c r="Q27" t="str">
        <f>IFERROR(_xlfn.XLOOKUP(B27,'Customer Master'!$A$1:$A$50,'Customer Master'!$B$1:$B$50),"Not Found")</f>
        <v>Hazel Brooks</v>
      </c>
      <c r="R27" t="str" cm="1">
        <f t="array" ref="R27">_xlfn.IFS(P27="NA", "NA", P27&lt;=2, "Fast", P27&gt;2, "Slow")</f>
        <v>Slow</v>
      </c>
      <c r="S27" t="str">
        <f>_xlfn.XLOOKUP(C27, 'Product Master'!$A$1:$A$23, 'Product Master'!$B$1:$B$23, "Not Found")</f>
        <v>Backpack</v>
      </c>
    </row>
    <row r="28" spans="1:19" x14ac:dyDescent="0.3">
      <c r="A28" s="18" t="s">
        <v>99</v>
      </c>
      <c r="B28" s="1" t="s">
        <v>100</v>
      </c>
      <c r="C28" s="1" t="s">
        <v>42</v>
      </c>
      <c r="D28" s="1" t="s">
        <v>21</v>
      </c>
      <c r="E28" s="1">
        <v>70</v>
      </c>
      <c r="F28" s="1">
        <v>2</v>
      </c>
      <c r="G28" s="1">
        <v>140</v>
      </c>
      <c r="H28" s="1" t="s">
        <v>28</v>
      </c>
      <c r="I28" s="1" t="s">
        <v>22</v>
      </c>
      <c r="J28" s="1" t="s">
        <v>27</v>
      </c>
      <c r="K28" s="2">
        <v>44942</v>
      </c>
      <c r="L28" s="2"/>
      <c r="M28" s="2"/>
      <c r="N28" t="str">
        <f t="shared" si="0"/>
        <v>No</v>
      </c>
      <c r="O28" t="str">
        <f>_xlfn.XLOOKUP(C28, 'Product Master'!$A$2:$A$23, 'Product Master'!$C$2:$C$23)</f>
        <v>Books</v>
      </c>
      <c r="P28" t="str">
        <f t="shared" si="1"/>
        <v>NA</v>
      </c>
      <c r="Q28" t="str">
        <f>IFERROR(_xlfn.XLOOKUP(B28,'Customer Master'!$A$1:$A$50,'Customer Master'!$B$1:$B$50),"Not Found")</f>
        <v>Grace Scott</v>
      </c>
      <c r="R28" t="str" cm="1">
        <f t="array" ref="R28">_xlfn.IFS(P28="NA", "NA", P28&lt;=2, "Fast", P28&gt;2, "Slow")</f>
        <v>NA</v>
      </c>
      <c r="S28" t="str">
        <f>_xlfn.XLOOKUP(C28, 'Product Master'!$A$1:$A$23, 'Product Master'!$B$1:$B$23, "Not Found")</f>
        <v>Textbook</v>
      </c>
    </row>
    <row r="29" spans="1:19" x14ac:dyDescent="0.3">
      <c r="A29" s="18" t="s">
        <v>101</v>
      </c>
      <c r="B29" s="1" t="s">
        <v>100</v>
      </c>
      <c r="C29" s="1" t="s">
        <v>16</v>
      </c>
      <c r="D29" s="1" t="s">
        <v>30</v>
      </c>
      <c r="E29" s="1">
        <v>97</v>
      </c>
      <c r="F29" s="1">
        <v>3</v>
      </c>
      <c r="G29" s="1">
        <v>291</v>
      </c>
      <c r="H29" s="1" t="s">
        <v>18</v>
      </c>
      <c r="I29" s="1" t="s">
        <v>22</v>
      </c>
      <c r="J29" s="1" t="s">
        <v>27</v>
      </c>
      <c r="K29" s="2">
        <v>45208</v>
      </c>
      <c r="L29" s="2"/>
      <c r="M29" s="2"/>
      <c r="N29" t="str">
        <f t="shared" si="0"/>
        <v>No</v>
      </c>
      <c r="O29" t="str">
        <f>_xlfn.XLOOKUP(C29, 'Product Master'!$A$2:$A$23, 'Product Master'!$C$2:$C$23)</f>
        <v>Toys</v>
      </c>
      <c r="P29" t="str">
        <f t="shared" si="1"/>
        <v>NA</v>
      </c>
      <c r="Q29" t="str">
        <f>IFERROR(_xlfn.XLOOKUP(B29,'Customer Master'!$A$1:$A$50,'Customer Master'!$B$1:$B$50),"Not Found")</f>
        <v>Grace Scott</v>
      </c>
      <c r="R29" t="str" cm="1">
        <f t="array" ref="R29">_xlfn.IFS(P29="NA", "NA", P29&lt;=2, "Fast", P29&gt;2, "Slow")</f>
        <v>NA</v>
      </c>
      <c r="S29" t="str">
        <f>_xlfn.XLOOKUP(C29, 'Product Master'!$A$1:$A$23, 'Product Master'!$B$1:$B$23, "Not Found")</f>
        <v>Doll House</v>
      </c>
    </row>
    <row r="30" spans="1:19" x14ac:dyDescent="0.3">
      <c r="A30" s="18" t="s">
        <v>102</v>
      </c>
      <c r="B30" s="1" t="s">
        <v>103</v>
      </c>
      <c r="C30" s="1" t="s">
        <v>32</v>
      </c>
      <c r="D30" s="1" t="s">
        <v>17</v>
      </c>
      <c r="E30" s="1">
        <v>37</v>
      </c>
      <c r="F30" s="1">
        <v>3</v>
      </c>
      <c r="G30" s="1">
        <v>111</v>
      </c>
      <c r="H30" s="1" t="s">
        <v>13</v>
      </c>
      <c r="I30" s="1" t="s">
        <v>14</v>
      </c>
      <c r="J30" s="1" t="s">
        <v>15</v>
      </c>
      <c r="K30" s="2">
        <v>45206</v>
      </c>
      <c r="L30" s="2"/>
      <c r="M30" s="2">
        <v>45209</v>
      </c>
      <c r="N30" t="str">
        <f t="shared" si="0"/>
        <v>Yes</v>
      </c>
      <c r="O30" t="str">
        <f>_xlfn.XLOOKUP(C30, 'Product Master'!$A$2:$A$23, 'Product Master'!$C$2:$C$23)</f>
        <v>Home</v>
      </c>
      <c r="P30" t="str">
        <f t="shared" si="1"/>
        <v>NA</v>
      </c>
      <c r="Q30" t="str">
        <f>IFERROR(_xlfn.XLOOKUP(B30,'Customer Master'!$A$1:$A$50,'Customer Master'!$B$1:$B$50),"Not Found")</f>
        <v>Liam Walker</v>
      </c>
      <c r="R30" t="str" cm="1">
        <f t="array" ref="R30">_xlfn.IFS(P30="NA", "NA", P30&lt;=2, "Fast", P30&gt;2, "Slow")</f>
        <v>NA</v>
      </c>
      <c r="S30" t="str">
        <f>_xlfn.XLOOKUP(C30, 'Product Master'!$A$1:$A$23, 'Product Master'!$B$1:$B$23, "Not Found")</f>
        <v>Wall Clock</v>
      </c>
    </row>
    <row r="31" spans="1:19" x14ac:dyDescent="0.3">
      <c r="A31" s="18" t="s">
        <v>104</v>
      </c>
      <c r="B31" s="1" t="s">
        <v>105</v>
      </c>
      <c r="C31" s="1" t="s">
        <v>42</v>
      </c>
      <c r="D31" s="1" t="s">
        <v>12</v>
      </c>
      <c r="E31" s="1">
        <v>69</v>
      </c>
      <c r="F31" s="1">
        <v>5</v>
      </c>
      <c r="G31" s="1">
        <v>345</v>
      </c>
      <c r="H31" s="1" t="s">
        <v>28</v>
      </c>
      <c r="I31" s="1" t="s">
        <v>22</v>
      </c>
      <c r="J31" s="1" t="s">
        <v>27</v>
      </c>
      <c r="K31" s="2">
        <v>44971</v>
      </c>
      <c r="L31" s="2"/>
      <c r="M31" s="2"/>
      <c r="N31" t="str">
        <f t="shared" si="0"/>
        <v>No</v>
      </c>
      <c r="O31" t="str">
        <f>_xlfn.XLOOKUP(C31, 'Product Master'!$A$2:$A$23, 'Product Master'!$C$2:$C$23)</f>
        <v>Books</v>
      </c>
      <c r="P31" t="str">
        <f t="shared" si="1"/>
        <v>NA</v>
      </c>
      <c r="Q31" t="str">
        <f>IFERROR(_xlfn.XLOOKUP(B31,'Customer Master'!$A$1:$A$50,'Customer Master'!$B$1:$B$50),"Not Found")</f>
        <v>Harper Young</v>
      </c>
      <c r="R31" t="str" cm="1">
        <f t="array" ref="R31">_xlfn.IFS(P31="NA", "NA", P31&lt;=2, "Fast", P31&gt;2, "Slow")</f>
        <v>NA</v>
      </c>
      <c r="S31" t="str">
        <f>_xlfn.XLOOKUP(C31, 'Product Master'!$A$1:$A$23, 'Product Master'!$B$1:$B$23, "Not Found")</f>
        <v>Textbook</v>
      </c>
    </row>
    <row r="32" spans="1:19" x14ac:dyDescent="0.3">
      <c r="A32" s="18" t="s">
        <v>106</v>
      </c>
      <c r="B32" s="1" t="s">
        <v>107</v>
      </c>
      <c r="C32" s="1" t="s">
        <v>44</v>
      </c>
      <c r="D32" s="1" t="s">
        <v>12</v>
      </c>
      <c r="E32" s="1">
        <v>42</v>
      </c>
      <c r="F32" s="1">
        <v>5</v>
      </c>
      <c r="G32" s="1">
        <v>210</v>
      </c>
      <c r="H32" s="1" t="s">
        <v>28</v>
      </c>
      <c r="I32" s="1" t="s">
        <v>22</v>
      </c>
      <c r="J32" s="1" t="s">
        <v>25</v>
      </c>
      <c r="K32" s="2">
        <v>45011</v>
      </c>
      <c r="L32" s="2"/>
      <c r="M32" s="2"/>
      <c r="N32" t="str">
        <f t="shared" si="0"/>
        <v>No</v>
      </c>
      <c r="O32" t="str">
        <f>_xlfn.XLOOKUP(C32, 'Product Master'!$A$2:$A$23, 'Product Master'!$C$2:$C$23)</f>
        <v>Toys</v>
      </c>
      <c r="P32" t="str">
        <f t="shared" si="1"/>
        <v>NA</v>
      </c>
      <c r="Q32" t="str">
        <f>IFERROR(_xlfn.XLOOKUP(B32,'Customer Master'!$A$1:$A$50,'Customer Master'!$B$1:$B$50),"Not Found")</f>
        <v>Harper Young</v>
      </c>
      <c r="R32" t="str" cm="1">
        <f t="array" ref="R32">_xlfn.IFS(P32="NA", "NA", P32&lt;=2, "Fast", P32&gt;2, "Slow")</f>
        <v>NA</v>
      </c>
      <c r="S32" t="str">
        <f>_xlfn.XLOOKUP(C32, 'Product Master'!$A$1:$A$23, 'Product Master'!$B$1:$B$23, "Not Found")</f>
        <v>Action Figure</v>
      </c>
    </row>
    <row r="33" spans="1:19" x14ac:dyDescent="0.3">
      <c r="A33" s="18" t="s">
        <v>108</v>
      </c>
      <c r="B33" s="1" t="s">
        <v>109</v>
      </c>
      <c r="C33" s="1" t="s">
        <v>46</v>
      </c>
      <c r="D33" s="1" t="s">
        <v>17</v>
      </c>
      <c r="E33" s="1">
        <v>11</v>
      </c>
      <c r="F33" s="1">
        <v>5</v>
      </c>
      <c r="G33" s="1">
        <v>55</v>
      </c>
      <c r="H33" s="1" t="s">
        <v>31</v>
      </c>
      <c r="I33" s="1" t="s">
        <v>14</v>
      </c>
      <c r="J33" s="1" t="s">
        <v>37</v>
      </c>
      <c r="K33" s="2">
        <v>45092</v>
      </c>
      <c r="L33" s="2"/>
      <c r="M33" s="2">
        <v>45099</v>
      </c>
      <c r="N33" t="str">
        <f t="shared" si="0"/>
        <v>Yes</v>
      </c>
      <c r="O33" t="str">
        <f>_xlfn.XLOOKUP(C33, 'Product Master'!$A$2:$A$23, 'Product Master'!$C$2:$C$23)</f>
        <v>Books</v>
      </c>
      <c r="P33" t="str">
        <f t="shared" si="1"/>
        <v>NA</v>
      </c>
      <c r="Q33" t="str">
        <f>IFERROR(_xlfn.XLOOKUP(B33,'Customer Master'!$A$1:$A$50,'Customer Master'!$B$1:$B$50),"Not Found")</f>
        <v>Emily Johnson</v>
      </c>
      <c r="R33" t="str" cm="1">
        <f t="array" ref="R33">_xlfn.IFS(P33="NA", "NA", P33&lt;=2, "Fast", P33&gt;2, "Slow")</f>
        <v>NA</v>
      </c>
      <c r="S33" t="str">
        <f>_xlfn.XLOOKUP(C33, 'Product Master'!$A$1:$A$23, 'Product Master'!$B$1:$B$23, "Not Found")</f>
        <v>Magazine</v>
      </c>
    </row>
    <row r="34" spans="1:19" x14ac:dyDescent="0.3">
      <c r="A34" s="18" t="s">
        <v>110</v>
      </c>
      <c r="B34" s="1" t="s">
        <v>93</v>
      </c>
      <c r="C34" s="1" t="s">
        <v>40</v>
      </c>
      <c r="D34" s="1" t="s">
        <v>21</v>
      </c>
      <c r="E34" s="1">
        <v>27</v>
      </c>
      <c r="F34" s="1">
        <v>2</v>
      </c>
      <c r="G34" s="1">
        <v>54</v>
      </c>
      <c r="H34" s="1" t="s">
        <v>13</v>
      </c>
      <c r="I34" s="1" t="s">
        <v>19</v>
      </c>
      <c r="J34" s="1" t="s">
        <v>23</v>
      </c>
      <c r="K34" s="2">
        <v>45068</v>
      </c>
      <c r="L34" s="2">
        <v>45069</v>
      </c>
      <c r="M34" s="2"/>
      <c r="N34" t="str">
        <f t="shared" si="0"/>
        <v>No</v>
      </c>
      <c r="O34" t="str">
        <f>_xlfn.XLOOKUP(C34, 'Product Master'!$A$2:$A$23, 'Product Master'!$C$2:$C$23)</f>
        <v>Fashion</v>
      </c>
      <c r="P34">
        <f t="shared" si="1"/>
        <v>1</v>
      </c>
      <c r="Q34" t="str">
        <f>IFERROR(_xlfn.XLOOKUP(B34,'Customer Master'!$A$1:$A$50,'Customer Master'!$B$1:$B$50),"Not Found")</f>
        <v>Elijah Lewis</v>
      </c>
      <c r="R34" t="str" cm="1">
        <f t="array" ref="R34">_xlfn.IFS(P34="NA", "NA", P34&lt;=2, "Fast", P34&gt;2, "Slow")</f>
        <v>Fast</v>
      </c>
      <c r="S34" t="str">
        <f>_xlfn.XLOOKUP(C34, 'Product Master'!$A$1:$A$23, 'Product Master'!$B$1:$B$23, "Not Found")</f>
        <v>T-Shirt</v>
      </c>
    </row>
    <row r="35" spans="1:19" x14ac:dyDescent="0.3">
      <c r="A35" s="18" t="s">
        <v>111</v>
      </c>
      <c r="B35" s="1" t="s">
        <v>89</v>
      </c>
      <c r="C35" s="1" t="s">
        <v>41</v>
      </c>
      <c r="D35" s="1" t="s">
        <v>21</v>
      </c>
      <c r="E35" s="1">
        <v>21</v>
      </c>
      <c r="F35" s="1">
        <v>1</v>
      </c>
      <c r="G35" s="1">
        <v>21</v>
      </c>
      <c r="H35" s="1" t="s">
        <v>28</v>
      </c>
      <c r="I35" s="1" t="s">
        <v>22</v>
      </c>
      <c r="J35" s="1" t="s">
        <v>15</v>
      </c>
      <c r="K35" s="2">
        <v>45250</v>
      </c>
      <c r="L35" s="2"/>
      <c r="M35" s="2"/>
      <c r="N35" t="str">
        <f t="shared" si="0"/>
        <v>No</v>
      </c>
      <c r="O35" t="str">
        <f>_xlfn.XLOOKUP(C35, 'Product Master'!$A$2:$A$23, 'Product Master'!$C$2:$C$23)</f>
        <v>Books</v>
      </c>
      <c r="P35" t="str">
        <f t="shared" si="1"/>
        <v>NA</v>
      </c>
      <c r="Q35" t="str">
        <f>IFERROR(_xlfn.XLOOKUP(B35,'Customer Master'!$A$1:$A$50,'Customer Master'!$B$1:$B$50),"Not Found")</f>
        <v>Emma King</v>
      </c>
      <c r="R35" t="str" cm="1">
        <f t="array" ref="R35">_xlfn.IFS(P35="NA", "NA", P35&lt;=2, "Fast", P35&gt;2, "Slow")</f>
        <v>NA</v>
      </c>
      <c r="S35" t="str">
        <f>_xlfn.XLOOKUP(C35, 'Product Master'!$A$1:$A$23, 'Product Master'!$B$1:$B$23, "Not Found")</f>
        <v>Novel</v>
      </c>
    </row>
    <row r="36" spans="1:19" x14ac:dyDescent="0.3">
      <c r="A36" s="18" t="s">
        <v>112</v>
      </c>
      <c r="B36" s="1" t="s">
        <v>113</v>
      </c>
      <c r="C36" s="1" t="s">
        <v>47</v>
      </c>
      <c r="D36" s="1" t="s">
        <v>21</v>
      </c>
      <c r="E36" s="1">
        <v>172</v>
      </c>
      <c r="F36" s="1">
        <v>1</v>
      </c>
      <c r="G36" s="1">
        <v>172</v>
      </c>
      <c r="H36" s="1" t="s">
        <v>24</v>
      </c>
      <c r="I36" s="1" t="s">
        <v>19</v>
      </c>
      <c r="J36" s="1" t="s">
        <v>23</v>
      </c>
      <c r="K36" s="2">
        <v>45282</v>
      </c>
      <c r="L36" s="2">
        <v>45286</v>
      </c>
      <c r="M36" s="2"/>
      <c r="N36" t="str">
        <f t="shared" si="0"/>
        <v>No</v>
      </c>
      <c r="O36" t="str">
        <f>_xlfn.XLOOKUP(C36, 'Product Master'!$A$2:$A$23, 'Product Master'!$C$2:$C$23)</f>
        <v>Electronics</v>
      </c>
      <c r="P36">
        <f t="shared" si="1"/>
        <v>4</v>
      </c>
      <c r="Q36" t="str">
        <f>IFERROR(_xlfn.XLOOKUP(B36,'Customer Master'!$A$1:$A$50,'Customer Master'!$B$1:$B$50),"Not Found")</f>
        <v>Luke Gray</v>
      </c>
      <c r="R36" t="str" cm="1">
        <f t="array" ref="R36">_xlfn.IFS(P36="NA", "NA", P36&lt;=2, "Fast", P36&gt;2, "Slow")</f>
        <v>Slow</v>
      </c>
      <c r="S36" t="str">
        <f>_xlfn.XLOOKUP(C36, 'Product Master'!$A$1:$A$23, 'Product Master'!$B$1:$B$23, "Not Found")</f>
        <v>Headphones</v>
      </c>
    </row>
    <row r="37" spans="1:19" x14ac:dyDescent="0.3">
      <c r="A37" s="18" t="s">
        <v>114</v>
      </c>
      <c r="B37" s="1" t="s">
        <v>107</v>
      </c>
      <c r="C37" s="1" t="s">
        <v>48</v>
      </c>
      <c r="D37" s="1" t="s">
        <v>12</v>
      </c>
      <c r="E37" s="1">
        <v>212</v>
      </c>
      <c r="F37" s="1">
        <v>3</v>
      </c>
      <c r="G37" s="1">
        <v>636</v>
      </c>
      <c r="H37" s="1" t="s">
        <v>28</v>
      </c>
      <c r="I37" s="1" t="s">
        <v>22</v>
      </c>
      <c r="J37" s="1" t="s">
        <v>25</v>
      </c>
      <c r="K37" s="2">
        <v>45130</v>
      </c>
      <c r="L37" s="2"/>
      <c r="M37" s="2"/>
      <c r="N37" t="str">
        <f t="shared" si="0"/>
        <v>No</v>
      </c>
      <c r="O37" t="str">
        <f>_xlfn.XLOOKUP(C37, 'Product Master'!$A$2:$A$23, 'Product Master'!$C$2:$C$23)</f>
        <v>Home</v>
      </c>
      <c r="P37" t="str">
        <f t="shared" si="1"/>
        <v>NA</v>
      </c>
      <c r="Q37" t="str">
        <f>IFERROR(_xlfn.XLOOKUP(B37,'Customer Master'!$A$1:$A$50,'Customer Master'!$B$1:$B$50),"Not Found")</f>
        <v>Harper Young</v>
      </c>
      <c r="R37" t="str" cm="1">
        <f t="array" ref="R37">_xlfn.IFS(P37="NA", "NA", P37&lt;=2, "Fast", P37&gt;2, "Slow")</f>
        <v>NA</v>
      </c>
      <c r="S37" t="str">
        <f>_xlfn.XLOOKUP(C37, 'Product Master'!$A$1:$A$23, 'Product Master'!$B$1:$B$23, "Not Found")</f>
        <v>Cookware Set Pro</v>
      </c>
    </row>
    <row r="38" spans="1:19" x14ac:dyDescent="0.3">
      <c r="A38" s="18" t="s">
        <v>115</v>
      </c>
      <c r="B38" s="1" t="s">
        <v>60</v>
      </c>
      <c r="C38" s="1" t="s">
        <v>44</v>
      </c>
      <c r="D38" s="1" t="s">
        <v>17</v>
      </c>
      <c r="E38" s="1">
        <v>41</v>
      </c>
      <c r="F38" s="1">
        <v>4</v>
      </c>
      <c r="G38" s="1">
        <v>164</v>
      </c>
      <c r="H38" s="1" t="s">
        <v>18</v>
      </c>
      <c r="I38" s="1" t="s">
        <v>19</v>
      </c>
      <c r="J38" s="1" t="s">
        <v>27</v>
      </c>
      <c r="K38" s="2">
        <v>45216</v>
      </c>
      <c r="L38" s="2">
        <v>45221</v>
      </c>
      <c r="M38" s="2"/>
      <c r="N38" t="str">
        <f t="shared" si="0"/>
        <v>No</v>
      </c>
      <c r="O38" t="str">
        <f>_xlfn.XLOOKUP(C38, 'Product Master'!$A$2:$A$23, 'Product Master'!$C$2:$C$23)</f>
        <v>Toys</v>
      </c>
      <c r="P38">
        <f t="shared" si="1"/>
        <v>5</v>
      </c>
      <c r="Q38" t="str">
        <f>IFERROR(_xlfn.XLOOKUP(B38,'Customer Master'!$A$1:$A$50,'Customer Master'!$B$1:$B$50),"Not Found")</f>
        <v>Grace Ward</v>
      </c>
      <c r="R38" t="str" cm="1">
        <f t="array" ref="R38">_xlfn.IFS(P38="NA", "NA", P38&lt;=2, "Fast", P38&gt;2, "Slow")</f>
        <v>Slow</v>
      </c>
      <c r="S38" t="str">
        <f>_xlfn.XLOOKUP(C38, 'Product Master'!$A$1:$A$23, 'Product Master'!$B$1:$B$23, "Not Found")</f>
        <v>Action Figure</v>
      </c>
    </row>
    <row r="39" spans="1:19" x14ac:dyDescent="0.3">
      <c r="A39" s="18" t="s">
        <v>116</v>
      </c>
      <c r="B39" s="1" t="s">
        <v>95</v>
      </c>
      <c r="C39" s="1" t="s">
        <v>49</v>
      </c>
      <c r="D39" s="1" t="s">
        <v>12</v>
      </c>
      <c r="E39" s="1">
        <v>32</v>
      </c>
      <c r="F39" s="1">
        <v>2</v>
      </c>
      <c r="G39" s="1">
        <v>64</v>
      </c>
      <c r="H39" s="1" t="s">
        <v>31</v>
      </c>
      <c r="I39" s="1" t="s">
        <v>14</v>
      </c>
      <c r="J39" s="1" t="s">
        <v>37</v>
      </c>
      <c r="K39" s="2">
        <v>45160</v>
      </c>
      <c r="L39" s="2"/>
      <c r="M39" s="2">
        <v>45162</v>
      </c>
      <c r="N39" t="str">
        <f t="shared" si="0"/>
        <v>Yes</v>
      </c>
      <c r="O39" t="str">
        <f>_xlfn.XLOOKUP(C39, 'Product Master'!$A$2:$A$23, 'Product Master'!$C$2:$C$23)</f>
        <v>Toys</v>
      </c>
      <c r="P39" t="str">
        <f t="shared" si="1"/>
        <v>NA</v>
      </c>
      <c r="Q39" t="str">
        <f>IFERROR(_xlfn.XLOOKUP(B39,'Customer Master'!$A$1:$A$50,'Customer Master'!$B$1:$B$50),"Not Found")</f>
        <v>Lily Bennett</v>
      </c>
      <c r="R39" t="str" cm="1">
        <f t="array" ref="R39">_xlfn.IFS(P39="NA", "NA", P39&lt;=2, "Fast", P39&gt;2, "Slow")</f>
        <v>NA</v>
      </c>
      <c r="S39" t="str">
        <f>_xlfn.XLOOKUP(C39, 'Product Master'!$A$1:$A$23, 'Product Master'!$B$1:$B$23, "Not Found")</f>
        <v>Puzzle</v>
      </c>
    </row>
    <row r="40" spans="1:19" x14ac:dyDescent="0.3">
      <c r="A40" s="18" t="s">
        <v>117</v>
      </c>
      <c r="B40" s="1" t="s">
        <v>118</v>
      </c>
      <c r="C40" s="1" t="s">
        <v>45</v>
      </c>
      <c r="D40" s="1" t="s">
        <v>17</v>
      </c>
      <c r="E40" s="1">
        <v>66</v>
      </c>
      <c r="F40" s="1">
        <v>2</v>
      </c>
      <c r="G40" s="1">
        <v>132</v>
      </c>
      <c r="H40" s="1" t="s">
        <v>13</v>
      </c>
      <c r="I40" s="1" t="s">
        <v>22</v>
      </c>
      <c r="J40" s="1" t="s">
        <v>15</v>
      </c>
      <c r="K40" s="2">
        <v>45262</v>
      </c>
      <c r="L40" s="2"/>
      <c r="M40" s="2"/>
      <c r="N40" t="str">
        <f t="shared" si="0"/>
        <v>No</v>
      </c>
      <c r="O40" t="str">
        <f>_xlfn.XLOOKUP(C40, 'Product Master'!$A$2:$A$23, 'Product Master'!$C$2:$C$23)</f>
        <v>Fashion</v>
      </c>
      <c r="P40" t="str">
        <f t="shared" si="1"/>
        <v>NA</v>
      </c>
      <c r="Q40" t="str">
        <f>IFERROR(_xlfn.XLOOKUP(B40,'Customer Master'!$A$1:$A$50,'Customer Master'!$B$1:$B$50),"Not Found")</f>
        <v>Scarlett Murphy</v>
      </c>
      <c r="R40" t="str" cm="1">
        <f t="array" ref="R40">_xlfn.IFS(P40="NA", "NA", P40&lt;=2, "Fast", P40&gt;2, "Slow")</f>
        <v>NA</v>
      </c>
      <c r="S40" t="str">
        <f>_xlfn.XLOOKUP(C40, 'Product Master'!$A$1:$A$23, 'Product Master'!$B$1:$B$23, "Not Found")</f>
        <v>Backpack</v>
      </c>
    </row>
    <row r="41" spans="1:19" x14ac:dyDescent="0.3">
      <c r="A41" s="18" t="s">
        <v>119</v>
      </c>
      <c r="B41" s="1" t="s">
        <v>120</v>
      </c>
      <c r="C41" s="1" t="s">
        <v>50</v>
      </c>
      <c r="D41" s="1" t="s">
        <v>17</v>
      </c>
      <c r="E41" s="1">
        <v>62</v>
      </c>
      <c r="F41" s="1">
        <v>4</v>
      </c>
      <c r="G41" s="1">
        <v>248</v>
      </c>
      <c r="H41" s="1" t="s">
        <v>31</v>
      </c>
      <c r="I41" s="1" t="s">
        <v>22</v>
      </c>
      <c r="J41" s="1" t="s">
        <v>25</v>
      </c>
      <c r="K41" s="2">
        <v>45285</v>
      </c>
      <c r="L41" s="2"/>
      <c r="M41" s="2"/>
      <c r="N41" t="str">
        <f t="shared" si="0"/>
        <v>No</v>
      </c>
      <c r="O41" t="str">
        <f>_xlfn.XLOOKUP(C41, 'Product Master'!$A$2:$A$23, 'Product Master'!$C$2:$C$23)</f>
        <v>Toys</v>
      </c>
      <c r="P41" t="str">
        <f t="shared" si="1"/>
        <v>NA</v>
      </c>
      <c r="Q41" t="str">
        <f>IFERROR(_xlfn.XLOOKUP(B41,'Customer Master'!$A$1:$A$50,'Customer Master'!$B$1:$B$50),"Not Found")</f>
        <v>Ava Robinson</v>
      </c>
      <c r="R41" t="str" cm="1">
        <f t="array" ref="R41">_xlfn.IFS(P41="NA", "NA", P41&lt;=2, "Fast", P41&gt;2, "Slow")</f>
        <v>NA</v>
      </c>
      <c r="S41" t="str">
        <f>_xlfn.XLOOKUP(C41, 'Product Master'!$A$1:$A$23, 'Product Master'!$B$1:$B$23, "Not Found")</f>
        <v>Leg Set</v>
      </c>
    </row>
    <row r="42" spans="1:19" x14ac:dyDescent="0.3">
      <c r="A42" s="18" t="s">
        <v>121</v>
      </c>
      <c r="B42" s="1" t="s">
        <v>122</v>
      </c>
      <c r="C42" s="1" t="s">
        <v>47</v>
      </c>
      <c r="D42" s="1" t="s">
        <v>33</v>
      </c>
      <c r="E42" s="1">
        <v>173</v>
      </c>
      <c r="F42" s="1">
        <v>4</v>
      </c>
      <c r="G42" s="1">
        <v>692</v>
      </c>
      <c r="H42" s="1" t="s">
        <v>13</v>
      </c>
      <c r="I42" s="1" t="s">
        <v>19</v>
      </c>
      <c r="J42" s="1" t="s">
        <v>25</v>
      </c>
      <c r="K42" s="2">
        <v>45192</v>
      </c>
      <c r="L42" s="2">
        <v>45199</v>
      </c>
      <c r="M42" s="2"/>
      <c r="N42" t="str">
        <f t="shared" si="0"/>
        <v>No</v>
      </c>
      <c r="O42" t="str">
        <f>_xlfn.XLOOKUP(C42, 'Product Master'!$A$2:$A$23, 'Product Master'!$C$2:$C$23)</f>
        <v>Electronics</v>
      </c>
      <c r="P42">
        <f t="shared" si="1"/>
        <v>7</v>
      </c>
      <c r="Q42" t="str">
        <f>IFERROR(_xlfn.XLOOKUP(B42,'Customer Master'!$A$1:$A$50,'Customer Master'!$B$1:$B$50),"Not Found")</f>
        <v>James Miller</v>
      </c>
      <c r="R42" t="str" cm="1">
        <f t="array" ref="R42">_xlfn.IFS(P42="NA", "NA", P42&lt;=2, "Fast", P42&gt;2, "Slow")</f>
        <v>Slow</v>
      </c>
      <c r="S42" t="str">
        <f>_xlfn.XLOOKUP(C42, 'Product Master'!$A$1:$A$23, 'Product Master'!$B$1:$B$23, "Not Found")</f>
        <v>Headphones</v>
      </c>
    </row>
    <row r="43" spans="1:19" x14ac:dyDescent="0.3">
      <c r="A43" s="18" t="s">
        <v>123</v>
      </c>
      <c r="B43" s="1" t="s">
        <v>103</v>
      </c>
      <c r="C43" s="1" t="s">
        <v>50</v>
      </c>
      <c r="D43" s="1" t="s">
        <v>33</v>
      </c>
      <c r="E43" s="1">
        <v>63</v>
      </c>
      <c r="F43" s="1">
        <v>3</v>
      </c>
      <c r="G43" s="1">
        <v>189</v>
      </c>
      <c r="H43" s="1" t="s">
        <v>13</v>
      </c>
      <c r="I43" s="1" t="s">
        <v>19</v>
      </c>
      <c r="J43" s="1" t="s">
        <v>25</v>
      </c>
      <c r="K43" s="2">
        <v>45123</v>
      </c>
      <c r="L43" s="2">
        <v>45125</v>
      </c>
      <c r="M43" s="2"/>
      <c r="N43" t="str">
        <f t="shared" si="0"/>
        <v>No</v>
      </c>
      <c r="O43" t="str">
        <f>_xlfn.XLOOKUP(C43, 'Product Master'!$A$2:$A$23, 'Product Master'!$C$2:$C$23)</f>
        <v>Toys</v>
      </c>
      <c r="P43">
        <f t="shared" si="1"/>
        <v>2</v>
      </c>
      <c r="Q43" t="str">
        <f>IFERROR(_xlfn.XLOOKUP(B43,'Customer Master'!$A$1:$A$50,'Customer Master'!$B$1:$B$50),"Not Found")</f>
        <v>Liam Walker</v>
      </c>
      <c r="R43" t="str" cm="1">
        <f t="array" ref="R43">_xlfn.IFS(P43="NA", "NA", P43&lt;=2, "Fast", P43&gt;2, "Slow")</f>
        <v>Fast</v>
      </c>
      <c r="S43" t="str">
        <f>_xlfn.XLOOKUP(C43, 'Product Master'!$A$1:$A$23, 'Product Master'!$B$1:$B$23, "Not Found")</f>
        <v>Leg Set</v>
      </c>
    </row>
    <row r="44" spans="1:19" x14ac:dyDescent="0.3">
      <c r="A44" s="18" t="s">
        <v>124</v>
      </c>
      <c r="B44" s="1" t="s">
        <v>97</v>
      </c>
      <c r="C44" s="1" t="s">
        <v>32</v>
      </c>
      <c r="D44" s="1" t="s">
        <v>33</v>
      </c>
      <c r="E44" s="1">
        <v>36</v>
      </c>
      <c r="F44" s="1">
        <v>3</v>
      </c>
      <c r="G44" s="1">
        <v>108</v>
      </c>
      <c r="H44" s="1" t="s">
        <v>31</v>
      </c>
      <c r="I44" s="1" t="s">
        <v>14</v>
      </c>
      <c r="J44" s="1" t="s">
        <v>23</v>
      </c>
      <c r="K44" s="2">
        <v>44962</v>
      </c>
      <c r="L44" s="2"/>
      <c r="M44" s="2">
        <v>44968</v>
      </c>
      <c r="N44" t="str">
        <f t="shared" si="0"/>
        <v>Yes</v>
      </c>
      <c r="O44" t="str">
        <f>_xlfn.XLOOKUP(C44, 'Product Master'!$A$2:$A$23, 'Product Master'!$C$2:$C$23)</f>
        <v>Home</v>
      </c>
      <c r="P44" t="str">
        <f t="shared" si="1"/>
        <v>NA</v>
      </c>
      <c r="Q44" t="str">
        <f>IFERROR(_xlfn.XLOOKUP(B44,'Customer Master'!$A$1:$A$50,'Customer Master'!$B$1:$B$50),"Not Found")</f>
        <v>Benjamin Clark</v>
      </c>
      <c r="R44" t="str" cm="1">
        <f t="array" ref="R44">_xlfn.IFS(P44="NA", "NA", P44&lt;=2, "Fast", P44&gt;2, "Slow")</f>
        <v>NA</v>
      </c>
      <c r="S44" t="str">
        <f>_xlfn.XLOOKUP(C44, 'Product Master'!$A$1:$A$23, 'Product Master'!$B$1:$B$23, "Not Found")</f>
        <v>Wall Clock</v>
      </c>
    </row>
    <row r="45" spans="1:19" x14ac:dyDescent="0.3">
      <c r="A45" s="18" t="s">
        <v>125</v>
      </c>
      <c r="B45" s="1" t="s">
        <v>120</v>
      </c>
      <c r="C45" s="1" t="s">
        <v>50</v>
      </c>
      <c r="D45" s="1" t="s">
        <v>30</v>
      </c>
      <c r="E45" s="1">
        <v>62</v>
      </c>
      <c r="F45" s="1">
        <v>1</v>
      </c>
      <c r="G45" s="1">
        <v>62</v>
      </c>
      <c r="H45" s="1" t="s">
        <v>13</v>
      </c>
      <c r="I45" s="1" t="s">
        <v>14</v>
      </c>
      <c r="J45" s="1" t="s">
        <v>27</v>
      </c>
      <c r="K45" s="2">
        <v>45278</v>
      </c>
      <c r="L45" s="2"/>
      <c r="M45" s="2">
        <v>45283</v>
      </c>
      <c r="N45" t="str">
        <f t="shared" si="0"/>
        <v>Yes</v>
      </c>
      <c r="O45" t="str">
        <f>_xlfn.XLOOKUP(C45, 'Product Master'!$A$2:$A$23, 'Product Master'!$C$2:$C$23)</f>
        <v>Toys</v>
      </c>
      <c r="P45" t="str">
        <f t="shared" si="1"/>
        <v>NA</v>
      </c>
      <c r="Q45" t="str">
        <f>IFERROR(_xlfn.XLOOKUP(B45,'Customer Master'!$A$1:$A$50,'Customer Master'!$B$1:$B$50),"Not Found")</f>
        <v>Ava Robinson</v>
      </c>
      <c r="R45" t="str" cm="1">
        <f t="array" ref="R45">_xlfn.IFS(P45="NA", "NA", P45&lt;=2, "Fast", P45&gt;2, "Slow")</f>
        <v>NA</v>
      </c>
      <c r="S45" t="str">
        <f>_xlfn.XLOOKUP(C45, 'Product Master'!$A$1:$A$23, 'Product Master'!$B$1:$B$23, "Not Found")</f>
        <v>Leg Set</v>
      </c>
    </row>
    <row r="46" spans="1:19" x14ac:dyDescent="0.3">
      <c r="A46" s="18" t="s">
        <v>126</v>
      </c>
      <c r="B46" s="1" t="s">
        <v>66</v>
      </c>
      <c r="C46" s="1" t="s">
        <v>35</v>
      </c>
      <c r="D46" s="1" t="s">
        <v>30</v>
      </c>
      <c r="E46" s="1">
        <v>137</v>
      </c>
      <c r="F46" s="1">
        <v>5</v>
      </c>
      <c r="G46" s="1">
        <v>685</v>
      </c>
      <c r="H46" s="1" t="s">
        <v>28</v>
      </c>
      <c r="I46" s="1" t="s">
        <v>14</v>
      </c>
      <c r="J46" s="1" t="s">
        <v>37</v>
      </c>
      <c r="K46" s="2">
        <v>45088</v>
      </c>
      <c r="L46" s="2"/>
      <c r="M46" s="2">
        <v>45091</v>
      </c>
      <c r="N46" t="str">
        <f t="shared" si="0"/>
        <v>Yes</v>
      </c>
      <c r="O46" t="str">
        <f>_xlfn.XLOOKUP(C46, 'Product Master'!$A$2:$A$23, 'Product Master'!$C$2:$C$23)</f>
        <v>Home</v>
      </c>
      <c r="P46" t="str">
        <f t="shared" si="1"/>
        <v>NA</v>
      </c>
      <c r="Q46" t="str">
        <f>IFERROR(_xlfn.XLOOKUP(B46,'Customer Master'!$A$1:$A$50,'Customer Master'!$B$1:$B$50),"Not Found")</f>
        <v>Noah Wilson</v>
      </c>
      <c r="R46" t="str" cm="1">
        <f t="array" ref="R46">_xlfn.IFS(P46="NA", "NA", P46&lt;=2, "Fast", P46&gt;2, "Slow")</f>
        <v>NA</v>
      </c>
      <c r="S46" t="str">
        <f>_xlfn.XLOOKUP(C46, 'Product Master'!$A$1:$A$23, 'Product Master'!$B$1:$B$23, "Not Found")</f>
        <v>Cookware Set</v>
      </c>
    </row>
    <row r="47" spans="1:19" x14ac:dyDescent="0.3">
      <c r="A47" s="18" t="s">
        <v>127</v>
      </c>
      <c r="B47" s="1" t="s">
        <v>128</v>
      </c>
      <c r="C47" s="1" t="s">
        <v>39</v>
      </c>
      <c r="D47" s="1" t="s">
        <v>12</v>
      </c>
      <c r="E47" s="1">
        <v>73</v>
      </c>
      <c r="F47" s="1">
        <v>4</v>
      </c>
      <c r="G47" s="1">
        <v>292</v>
      </c>
      <c r="H47" s="1" t="s">
        <v>18</v>
      </c>
      <c r="I47" s="1" t="s">
        <v>19</v>
      </c>
      <c r="J47" s="1" t="s">
        <v>27</v>
      </c>
      <c r="K47" s="2">
        <v>45264</v>
      </c>
      <c r="L47" s="2">
        <v>45268</v>
      </c>
      <c r="M47" s="2"/>
      <c r="N47" t="str">
        <f t="shared" si="0"/>
        <v>No</v>
      </c>
      <c r="O47" t="str">
        <f>_xlfn.XLOOKUP(C47, 'Product Master'!$A$2:$A$23, 'Product Master'!$C$2:$C$23)</f>
        <v>Electronics</v>
      </c>
      <c r="P47">
        <f t="shared" si="1"/>
        <v>4</v>
      </c>
      <c r="Q47" t="str">
        <f>IFERROR(_xlfn.XLOOKUP(B47,'Customer Master'!$A$1:$A$50,'Customer Master'!$B$1:$B$50),"Not Found")</f>
        <v>Logan Ramirez</v>
      </c>
      <c r="R47" t="str" cm="1">
        <f t="array" ref="R47">_xlfn.IFS(P47="NA", "NA", P47&lt;=2, "Fast", P47&gt;2, "Slow")</f>
        <v>Slow</v>
      </c>
      <c r="S47" t="str">
        <f>_xlfn.XLOOKUP(C47, 'Product Master'!$A$1:$A$23, 'Product Master'!$B$1:$B$23, "Not Found")</f>
        <v>Gaming Mouse</v>
      </c>
    </row>
    <row r="48" spans="1:19" x14ac:dyDescent="0.3">
      <c r="A48" s="18" t="s">
        <v>129</v>
      </c>
      <c r="B48" s="1" t="s">
        <v>87</v>
      </c>
      <c r="C48" s="1" t="s">
        <v>29</v>
      </c>
      <c r="D48" s="1" t="s">
        <v>12</v>
      </c>
      <c r="E48" s="1">
        <v>104</v>
      </c>
      <c r="F48" s="1">
        <v>1</v>
      </c>
      <c r="G48" s="1">
        <v>104</v>
      </c>
      <c r="H48" s="1" t="s">
        <v>24</v>
      </c>
      <c r="I48" s="1" t="s">
        <v>19</v>
      </c>
      <c r="J48" s="1" t="s">
        <v>27</v>
      </c>
      <c r="K48" s="2">
        <v>45124</v>
      </c>
      <c r="L48" s="2">
        <v>45126</v>
      </c>
      <c r="M48" s="2"/>
      <c r="N48" t="str">
        <f t="shared" si="0"/>
        <v>No</v>
      </c>
      <c r="O48" t="str">
        <f>_xlfn.XLOOKUP(C48, 'Product Master'!$A$2:$A$23, 'Product Master'!$C$2:$C$23)</f>
        <v>Electronics</v>
      </c>
      <c r="P48">
        <f t="shared" si="1"/>
        <v>2</v>
      </c>
      <c r="Q48" t="str">
        <f>IFERROR(_xlfn.XLOOKUP(B48,'Customer Master'!$A$1:$A$50,'Customer Master'!$B$1:$B$50),"Not Found")</f>
        <v>Jacob Price</v>
      </c>
      <c r="R48" t="str" cm="1">
        <f t="array" ref="R48">_xlfn.IFS(P48="NA", "NA", P48&lt;=2, "Fast", P48&gt;2, "Slow")</f>
        <v>Fast</v>
      </c>
      <c r="S48" t="str">
        <f>_xlfn.XLOOKUP(C48, 'Product Master'!$A$1:$A$23, 'Product Master'!$B$1:$B$23, "Not Found")</f>
        <v>Bluetooth Speaker</v>
      </c>
    </row>
    <row r="49" spans="1:19" x14ac:dyDescent="0.3">
      <c r="A49" s="18" t="s">
        <v>130</v>
      </c>
      <c r="B49" s="1" t="s">
        <v>60</v>
      </c>
      <c r="C49" s="1" t="s">
        <v>38</v>
      </c>
      <c r="D49" s="1" t="s">
        <v>17</v>
      </c>
      <c r="E49" s="1">
        <v>97</v>
      </c>
      <c r="F49" s="1">
        <v>1</v>
      </c>
      <c r="G49" s="1">
        <v>97</v>
      </c>
      <c r="H49" s="1" t="s">
        <v>28</v>
      </c>
      <c r="I49" s="1" t="s">
        <v>19</v>
      </c>
      <c r="J49" s="1" t="s">
        <v>37</v>
      </c>
      <c r="K49" s="2">
        <v>45218</v>
      </c>
      <c r="L49" s="2">
        <v>45223</v>
      </c>
      <c r="M49" s="2"/>
      <c r="N49" t="str">
        <f t="shared" si="0"/>
        <v>No</v>
      </c>
      <c r="O49" t="str">
        <f>_xlfn.XLOOKUP(C49, 'Product Master'!$A$2:$A$23, 'Product Master'!$C$2:$C$23)</f>
        <v>Fashion</v>
      </c>
      <c r="P49">
        <f t="shared" si="1"/>
        <v>5</v>
      </c>
      <c r="Q49" t="str">
        <f>IFERROR(_xlfn.XLOOKUP(B49,'Customer Master'!$A$1:$A$50,'Customer Master'!$B$1:$B$50),"Not Found")</f>
        <v>Grace Ward</v>
      </c>
      <c r="R49" t="str" cm="1">
        <f t="array" ref="R49">_xlfn.IFS(P49="NA", "NA", P49&lt;=2, "Fast", P49&gt;2, "Slow")</f>
        <v>Slow</v>
      </c>
      <c r="S49" t="str">
        <f>_xlfn.XLOOKUP(C49, 'Product Master'!$A$1:$A$23, 'Product Master'!$B$1:$B$23, "Not Found")</f>
        <v>Shoes</v>
      </c>
    </row>
    <row r="50" spans="1:19" x14ac:dyDescent="0.3">
      <c r="A50" s="18" t="s">
        <v>131</v>
      </c>
      <c r="B50" s="1" t="s">
        <v>132</v>
      </c>
      <c r="C50" s="1" t="s">
        <v>39</v>
      </c>
      <c r="D50" s="1" t="s">
        <v>21</v>
      </c>
      <c r="E50" s="1">
        <v>73</v>
      </c>
      <c r="F50" s="1">
        <v>5</v>
      </c>
      <c r="G50" s="1">
        <v>365</v>
      </c>
      <c r="H50" s="1" t="s">
        <v>13</v>
      </c>
      <c r="I50" s="1" t="s">
        <v>22</v>
      </c>
      <c r="J50" s="1" t="s">
        <v>27</v>
      </c>
      <c r="K50" s="2">
        <v>45061</v>
      </c>
      <c r="L50" s="2"/>
      <c r="M50" s="2"/>
      <c r="N50" t="str">
        <f t="shared" si="0"/>
        <v>No</v>
      </c>
      <c r="O50" t="str">
        <f>_xlfn.XLOOKUP(C50, 'Product Master'!$A$2:$A$23, 'Product Master'!$C$2:$C$23)</f>
        <v>Electronics</v>
      </c>
      <c r="P50" t="str">
        <f t="shared" si="1"/>
        <v>NA</v>
      </c>
      <c r="Q50" t="str">
        <f>IFERROR(_xlfn.XLOOKUP(B50,'Customer Master'!$A$1:$A$50,'Customer Master'!$B$1:$B$50),"Not Found")</f>
        <v>Zoe Mitchell</v>
      </c>
      <c r="R50" t="str" cm="1">
        <f t="array" ref="R50">_xlfn.IFS(P50="NA", "NA", P50&lt;=2, "Fast", P50&gt;2, "Slow")</f>
        <v>NA</v>
      </c>
      <c r="S50" t="str">
        <f>_xlfn.XLOOKUP(C50, 'Product Master'!$A$1:$A$23, 'Product Master'!$B$1:$B$23, "Not Found")</f>
        <v>Gaming Mouse</v>
      </c>
    </row>
    <row r="51" spans="1:19" x14ac:dyDescent="0.3">
      <c r="A51" s="18" t="s">
        <v>133</v>
      </c>
      <c r="B51" s="1" t="s">
        <v>97</v>
      </c>
      <c r="C51" s="1" t="s">
        <v>40</v>
      </c>
      <c r="D51" s="1" t="s">
        <v>17</v>
      </c>
      <c r="E51" s="1">
        <v>27</v>
      </c>
      <c r="F51" s="1">
        <v>3</v>
      </c>
      <c r="G51" s="1">
        <v>81</v>
      </c>
      <c r="H51" s="1" t="s">
        <v>28</v>
      </c>
      <c r="I51" s="1" t="s">
        <v>19</v>
      </c>
      <c r="J51" s="1" t="s">
        <v>25</v>
      </c>
      <c r="K51" s="2">
        <v>44969</v>
      </c>
      <c r="L51" s="2">
        <v>44976</v>
      </c>
      <c r="M51" s="2"/>
      <c r="N51" t="str">
        <f t="shared" si="0"/>
        <v>No</v>
      </c>
      <c r="O51" t="str">
        <f>_xlfn.XLOOKUP(C51, 'Product Master'!$A$2:$A$23, 'Product Master'!$C$2:$C$23)</f>
        <v>Fashion</v>
      </c>
      <c r="P51">
        <f t="shared" si="1"/>
        <v>7</v>
      </c>
      <c r="Q51" t="str">
        <f>IFERROR(_xlfn.XLOOKUP(B51,'Customer Master'!$A$1:$A$50,'Customer Master'!$B$1:$B$50),"Not Found")</f>
        <v>Benjamin Clark</v>
      </c>
      <c r="R51" t="str" cm="1">
        <f t="array" ref="R51">_xlfn.IFS(P51="NA", "NA", P51&lt;=2, "Fast", P51&gt;2, "Slow")</f>
        <v>Slow</v>
      </c>
      <c r="S51" t="str">
        <f>_xlfn.XLOOKUP(C51, 'Product Master'!$A$1:$A$23, 'Product Master'!$B$1:$B$23, "Not Found")</f>
        <v>T-Shirt</v>
      </c>
    </row>
    <row r="52" spans="1:19" x14ac:dyDescent="0.3">
      <c r="A52" s="18" t="s">
        <v>134</v>
      </c>
      <c r="B52" s="1" t="s">
        <v>87</v>
      </c>
      <c r="C52" s="1" t="s">
        <v>32</v>
      </c>
      <c r="D52" s="1" t="s">
        <v>12</v>
      </c>
      <c r="E52" s="1">
        <v>37</v>
      </c>
      <c r="F52" s="1">
        <v>1</v>
      </c>
      <c r="G52" s="1">
        <v>37</v>
      </c>
      <c r="H52" s="1" t="s">
        <v>13</v>
      </c>
      <c r="I52" s="1" t="s">
        <v>22</v>
      </c>
      <c r="J52" s="1" t="s">
        <v>25</v>
      </c>
      <c r="K52" s="2">
        <v>45201</v>
      </c>
      <c r="L52" s="2"/>
      <c r="M52" s="2"/>
      <c r="N52" t="str">
        <f t="shared" si="0"/>
        <v>No</v>
      </c>
      <c r="O52" t="str">
        <f>_xlfn.XLOOKUP(C52, 'Product Master'!$A$2:$A$23, 'Product Master'!$C$2:$C$23)</f>
        <v>Home</v>
      </c>
      <c r="P52" t="str">
        <f t="shared" si="1"/>
        <v>NA</v>
      </c>
      <c r="Q52" t="str">
        <f>IFERROR(_xlfn.XLOOKUP(B52,'Customer Master'!$A$1:$A$50,'Customer Master'!$B$1:$B$50),"Not Found")</f>
        <v>Jacob Price</v>
      </c>
      <c r="R52" t="str" cm="1">
        <f t="array" ref="R52">_xlfn.IFS(P52="NA", "NA", P52&lt;=2, "Fast", P52&gt;2, "Slow")</f>
        <v>NA</v>
      </c>
      <c r="S52" t="str">
        <f>_xlfn.XLOOKUP(C52, 'Product Master'!$A$1:$A$23, 'Product Master'!$B$1:$B$23, "Not Found")</f>
        <v>Wall Clock</v>
      </c>
    </row>
    <row r="53" spans="1:19" x14ac:dyDescent="0.3">
      <c r="A53" s="18" t="s">
        <v>135</v>
      </c>
      <c r="B53" s="1" t="s">
        <v>105</v>
      </c>
      <c r="C53" s="1" t="s">
        <v>41</v>
      </c>
      <c r="D53" s="1" t="s">
        <v>12</v>
      </c>
      <c r="E53" s="1">
        <v>22</v>
      </c>
      <c r="F53" s="1">
        <v>1</v>
      </c>
      <c r="G53" s="1">
        <v>22</v>
      </c>
      <c r="H53" s="1" t="s">
        <v>31</v>
      </c>
      <c r="I53" s="1" t="s">
        <v>19</v>
      </c>
      <c r="J53" s="1" t="s">
        <v>37</v>
      </c>
      <c r="K53" s="2">
        <v>44956</v>
      </c>
      <c r="L53" s="2">
        <v>44958</v>
      </c>
      <c r="M53" s="2"/>
      <c r="N53" t="str">
        <f t="shared" si="0"/>
        <v>No</v>
      </c>
      <c r="O53" t="str">
        <f>_xlfn.XLOOKUP(C53, 'Product Master'!$A$2:$A$23, 'Product Master'!$C$2:$C$23)</f>
        <v>Books</v>
      </c>
      <c r="P53">
        <f t="shared" si="1"/>
        <v>2</v>
      </c>
      <c r="Q53" t="str">
        <f>IFERROR(_xlfn.XLOOKUP(B53,'Customer Master'!$A$1:$A$50,'Customer Master'!$B$1:$B$50),"Not Found")</f>
        <v>Harper Young</v>
      </c>
      <c r="R53" t="str" cm="1">
        <f t="array" ref="R53">_xlfn.IFS(P53="NA", "NA", P53&lt;=2, "Fast", P53&gt;2, "Slow")</f>
        <v>Fast</v>
      </c>
      <c r="S53" t="str">
        <f>_xlfn.XLOOKUP(C53, 'Product Master'!$A$1:$A$23, 'Product Master'!$B$1:$B$23, "Not Found")</f>
        <v>Novel</v>
      </c>
    </row>
    <row r="54" spans="1:19" x14ac:dyDescent="0.3">
      <c r="A54" s="18" t="s">
        <v>136</v>
      </c>
      <c r="B54" s="1" t="s">
        <v>85</v>
      </c>
      <c r="C54" s="1" t="s">
        <v>48</v>
      </c>
      <c r="D54" s="1" t="s">
        <v>30</v>
      </c>
      <c r="E54" s="1">
        <v>218</v>
      </c>
      <c r="F54" s="1">
        <v>5</v>
      </c>
      <c r="G54" s="1">
        <v>1090</v>
      </c>
      <c r="H54" s="1" t="s">
        <v>24</v>
      </c>
      <c r="I54" s="1" t="s">
        <v>19</v>
      </c>
      <c r="J54" s="1" t="s">
        <v>15</v>
      </c>
      <c r="K54" s="2">
        <v>45289</v>
      </c>
      <c r="L54" s="2">
        <v>45292</v>
      </c>
      <c r="M54" s="2"/>
      <c r="N54" t="str">
        <f t="shared" si="0"/>
        <v>No</v>
      </c>
      <c r="O54" t="str">
        <f>_xlfn.XLOOKUP(C54, 'Product Master'!$A$2:$A$23, 'Product Master'!$C$2:$C$23)</f>
        <v>Home</v>
      </c>
      <c r="P54">
        <f t="shared" si="1"/>
        <v>3</v>
      </c>
      <c r="Q54" t="str">
        <f>IFERROR(_xlfn.XLOOKUP(B54,'Customer Master'!$A$1:$A$50,'Customer Master'!$B$1:$B$50),"Not Found")</f>
        <v>Mason Hall</v>
      </c>
      <c r="R54" t="str" cm="1">
        <f t="array" ref="R54">_xlfn.IFS(P54="NA", "NA", P54&lt;=2, "Fast", P54&gt;2, "Slow")</f>
        <v>Slow</v>
      </c>
      <c r="S54" t="str">
        <f>_xlfn.XLOOKUP(C54, 'Product Master'!$A$1:$A$23, 'Product Master'!$B$1:$B$23, "Not Found")</f>
        <v>Cookware Set Pro</v>
      </c>
    </row>
    <row r="55" spans="1:19" x14ac:dyDescent="0.3">
      <c r="A55" s="18" t="s">
        <v>137</v>
      </c>
      <c r="B55" s="1" t="s">
        <v>100</v>
      </c>
      <c r="C55" s="1" t="s">
        <v>50</v>
      </c>
      <c r="D55" s="1" t="s">
        <v>12</v>
      </c>
      <c r="E55" s="1">
        <v>64</v>
      </c>
      <c r="F55" s="1">
        <v>1</v>
      </c>
      <c r="G55" s="1">
        <v>64</v>
      </c>
      <c r="H55" s="1" t="s">
        <v>13</v>
      </c>
      <c r="I55" s="1" t="s">
        <v>14</v>
      </c>
      <c r="J55" s="1" t="s">
        <v>23</v>
      </c>
      <c r="K55" s="2">
        <v>44991</v>
      </c>
      <c r="L55" s="2"/>
      <c r="M55" s="2">
        <v>44998</v>
      </c>
      <c r="N55" t="str">
        <f t="shared" si="0"/>
        <v>Yes</v>
      </c>
      <c r="O55" t="str">
        <f>_xlfn.XLOOKUP(C55, 'Product Master'!$A$2:$A$23, 'Product Master'!$C$2:$C$23)</f>
        <v>Toys</v>
      </c>
      <c r="P55" t="str">
        <f t="shared" si="1"/>
        <v>NA</v>
      </c>
      <c r="Q55" t="str">
        <f>IFERROR(_xlfn.XLOOKUP(B55,'Customer Master'!$A$1:$A$50,'Customer Master'!$B$1:$B$50),"Not Found")</f>
        <v>Grace Scott</v>
      </c>
      <c r="R55" t="str" cm="1">
        <f t="array" ref="R55">_xlfn.IFS(P55="NA", "NA", P55&lt;=2, "Fast", P55&gt;2, "Slow")</f>
        <v>NA</v>
      </c>
      <c r="S55" t="str">
        <f>_xlfn.XLOOKUP(C55, 'Product Master'!$A$1:$A$23, 'Product Master'!$B$1:$B$23, "Not Found")</f>
        <v>Leg Set</v>
      </c>
    </row>
    <row r="56" spans="1:19" x14ac:dyDescent="0.3">
      <c r="A56" s="18" t="s">
        <v>138</v>
      </c>
      <c r="B56" s="1" t="s">
        <v>109</v>
      </c>
      <c r="C56" s="1" t="s">
        <v>32</v>
      </c>
      <c r="D56" s="1" t="s">
        <v>30</v>
      </c>
      <c r="E56" s="1">
        <v>36</v>
      </c>
      <c r="F56" s="1">
        <v>4</v>
      </c>
      <c r="G56" s="1">
        <v>144</v>
      </c>
      <c r="H56" s="1" t="s">
        <v>24</v>
      </c>
      <c r="I56" s="1" t="s">
        <v>19</v>
      </c>
      <c r="J56" s="1" t="s">
        <v>27</v>
      </c>
      <c r="K56" s="2">
        <v>44959</v>
      </c>
      <c r="L56" s="2">
        <v>44963</v>
      </c>
      <c r="M56" s="2"/>
      <c r="N56" t="str">
        <f t="shared" si="0"/>
        <v>No</v>
      </c>
      <c r="O56" t="str">
        <f>_xlfn.XLOOKUP(C56, 'Product Master'!$A$2:$A$23, 'Product Master'!$C$2:$C$23)</f>
        <v>Home</v>
      </c>
      <c r="P56">
        <f t="shared" si="1"/>
        <v>4</v>
      </c>
      <c r="Q56" t="str">
        <f>IFERROR(_xlfn.XLOOKUP(B56,'Customer Master'!$A$1:$A$50,'Customer Master'!$B$1:$B$50),"Not Found")</f>
        <v>Emily Johnson</v>
      </c>
      <c r="R56" t="str" cm="1">
        <f t="array" ref="R56">_xlfn.IFS(P56="NA", "NA", P56&lt;=2, "Fast", P56&gt;2, "Slow")</f>
        <v>Slow</v>
      </c>
      <c r="S56" t="str">
        <f>_xlfn.XLOOKUP(C56, 'Product Master'!$A$1:$A$23, 'Product Master'!$B$1:$B$23, "Not Found")</f>
        <v>Wall Clock</v>
      </c>
    </row>
    <row r="57" spans="1:19" x14ac:dyDescent="0.3">
      <c r="A57" s="18" t="s">
        <v>139</v>
      </c>
      <c r="B57" s="1" t="s">
        <v>140</v>
      </c>
      <c r="C57" s="1" t="s">
        <v>50</v>
      </c>
      <c r="D57" s="1" t="s">
        <v>33</v>
      </c>
      <c r="E57" s="1">
        <v>65</v>
      </c>
      <c r="F57" s="1">
        <v>1</v>
      </c>
      <c r="G57" s="1">
        <v>65</v>
      </c>
      <c r="H57" s="1" t="s">
        <v>28</v>
      </c>
      <c r="I57" s="1" t="s">
        <v>19</v>
      </c>
      <c r="J57" s="1" t="s">
        <v>37</v>
      </c>
      <c r="K57" s="2">
        <v>45217</v>
      </c>
      <c r="L57" s="2">
        <v>45220</v>
      </c>
      <c r="M57" s="2"/>
      <c r="N57" t="str">
        <f t="shared" si="0"/>
        <v>No</v>
      </c>
      <c r="O57" t="str">
        <f>_xlfn.XLOOKUP(C57, 'Product Master'!$A$2:$A$23, 'Product Master'!$C$2:$C$23)</f>
        <v>Toys</v>
      </c>
      <c r="P57">
        <f t="shared" si="1"/>
        <v>3</v>
      </c>
      <c r="Q57" t="str">
        <f>IFERROR(_xlfn.XLOOKUP(B57,'Customer Master'!$A$1:$A$50,'Customer Master'!$B$1:$B$50),"Not Found")</f>
        <v>Emma King</v>
      </c>
      <c r="R57" t="str" cm="1">
        <f t="array" ref="R57">_xlfn.IFS(P57="NA", "NA", P57&lt;=2, "Fast", P57&gt;2, "Slow")</f>
        <v>Slow</v>
      </c>
      <c r="S57" t="str">
        <f>_xlfn.XLOOKUP(C57, 'Product Master'!$A$1:$A$23, 'Product Master'!$B$1:$B$23, "Not Found")</f>
        <v>Leg Set</v>
      </c>
    </row>
    <row r="58" spans="1:19" x14ac:dyDescent="0.3">
      <c r="A58" s="18" t="s">
        <v>141</v>
      </c>
      <c r="B58" s="1" t="s">
        <v>89</v>
      </c>
      <c r="C58" s="1" t="s">
        <v>40</v>
      </c>
      <c r="D58" s="1" t="s">
        <v>30</v>
      </c>
      <c r="E58" s="1">
        <v>26</v>
      </c>
      <c r="F58" s="1">
        <v>1</v>
      </c>
      <c r="G58" s="1">
        <v>26</v>
      </c>
      <c r="H58" s="1" t="s">
        <v>13</v>
      </c>
      <c r="I58" s="1" t="s">
        <v>19</v>
      </c>
      <c r="J58" s="1" t="s">
        <v>15</v>
      </c>
      <c r="K58" s="2">
        <v>44933</v>
      </c>
      <c r="L58" s="2">
        <v>44935</v>
      </c>
      <c r="M58" s="2"/>
      <c r="N58" t="str">
        <f t="shared" si="0"/>
        <v>No</v>
      </c>
      <c r="O58" t="str">
        <f>_xlfn.XLOOKUP(C58, 'Product Master'!$A$2:$A$23, 'Product Master'!$C$2:$C$23)</f>
        <v>Fashion</v>
      </c>
      <c r="P58">
        <f t="shared" si="1"/>
        <v>2</v>
      </c>
      <c r="Q58" t="str">
        <f>IFERROR(_xlfn.XLOOKUP(B58,'Customer Master'!$A$1:$A$50,'Customer Master'!$B$1:$B$50),"Not Found")</f>
        <v>Emma King</v>
      </c>
      <c r="R58" t="str" cm="1">
        <f t="array" ref="R58">_xlfn.IFS(P58="NA", "NA", P58&lt;=2, "Fast", P58&gt;2, "Slow")</f>
        <v>Fast</v>
      </c>
      <c r="S58" t="str">
        <f>_xlfn.XLOOKUP(C58, 'Product Master'!$A$1:$A$23, 'Product Master'!$B$1:$B$23, "Not Found")</f>
        <v>T-Shirt</v>
      </c>
    </row>
    <row r="59" spans="1:19" x14ac:dyDescent="0.3">
      <c r="A59" s="18" t="s">
        <v>142</v>
      </c>
      <c r="B59" s="1" t="s">
        <v>55</v>
      </c>
      <c r="C59" s="1" t="s">
        <v>46</v>
      </c>
      <c r="D59" s="1" t="s">
        <v>12</v>
      </c>
      <c r="E59" s="1">
        <v>11</v>
      </c>
      <c r="F59" s="1">
        <v>5</v>
      </c>
      <c r="G59" s="1">
        <v>55</v>
      </c>
      <c r="H59" s="1" t="s">
        <v>18</v>
      </c>
      <c r="I59" s="1" t="s">
        <v>22</v>
      </c>
      <c r="J59" s="1" t="s">
        <v>37</v>
      </c>
      <c r="K59" s="2">
        <v>45054</v>
      </c>
      <c r="L59" s="2"/>
      <c r="M59" s="2"/>
      <c r="N59" t="str">
        <f t="shared" si="0"/>
        <v>No</v>
      </c>
      <c r="O59" t="str">
        <f>_xlfn.XLOOKUP(C59, 'Product Master'!$A$2:$A$23, 'Product Master'!$C$2:$C$23)</f>
        <v>Books</v>
      </c>
      <c r="P59" t="str">
        <f t="shared" si="1"/>
        <v>NA</v>
      </c>
      <c r="Q59" t="str">
        <f>IFERROR(_xlfn.XLOOKUP(B59,'Customer Master'!$A$1:$A$50,'Customer Master'!$B$1:$B$50),"Not Found")</f>
        <v>Zoe Mitchell</v>
      </c>
      <c r="R59" t="str" cm="1">
        <f t="array" ref="R59">_xlfn.IFS(P59="NA", "NA", P59&lt;=2, "Fast", P59&gt;2, "Slow")</f>
        <v>NA</v>
      </c>
      <c r="S59" t="str">
        <f>_xlfn.XLOOKUP(C59, 'Product Master'!$A$1:$A$23, 'Product Master'!$B$1:$B$23, "Not Found")</f>
        <v>Magazine</v>
      </c>
    </row>
    <row r="60" spans="1:19" x14ac:dyDescent="0.3">
      <c r="A60" s="18" t="s">
        <v>143</v>
      </c>
      <c r="B60" s="1" t="s">
        <v>144</v>
      </c>
      <c r="C60" s="1" t="s">
        <v>20</v>
      </c>
      <c r="D60" s="1" t="s">
        <v>12</v>
      </c>
      <c r="E60" s="1">
        <v>195</v>
      </c>
      <c r="F60" s="1">
        <v>4</v>
      </c>
      <c r="G60" s="1">
        <v>780</v>
      </c>
      <c r="H60" s="1" t="s">
        <v>24</v>
      </c>
      <c r="I60" s="1" t="s">
        <v>14</v>
      </c>
      <c r="J60" s="1" t="s">
        <v>37</v>
      </c>
      <c r="K60" s="2">
        <v>45018</v>
      </c>
      <c r="L60" s="2"/>
      <c r="M60" s="2">
        <v>45021</v>
      </c>
      <c r="N60" t="str">
        <f t="shared" si="0"/>
        <v>Yes</v>
      </c>
      <c r="O60" t="str">
        <f>_xlfn.XLOOKUP(C60, 'Product Master'!$A$2:$A$23, 'Product Master'!$C$2:$C$23)</f>
        <v>Home</v>
      </c>
      <c r="P60" t="str">
        <f t="shared" si="1"/>
        <v>NA</v>
      </c>
      <c r="Q60" t="str">
        <f>IFERROR(_xlfn.XLOOKUP(B60,'Customer Master'!$A$1:$A$50,'Customer Master'!$B$1:$B$50),"Not Found")</f>
        <v>Ethan Davis</v>
      </c>
      <c r="R60" t="str" cm="1">
        <f t="array" ref="R60">_xlfn.IFS(P60="NA", "NA", P60&lt;=2, "Fast", P60&gt;2, "Slow")</f>
        <v>NA</v>
      </c>
      <c r="S60" t="str">
        <f>_xlfn.XLOOKUP(C60, 'Product Master'!$A$1:$A$23, 'Product Master'!$B$1:$B$23, "Not Found")</f>
        <v>Vacuum Cleaner</v>
      </c>
    </row>
    <row r="61" spans="1:19" x14ac:dyDescent="0.3">
      <c r="A61" s="18" t="s">
        <v>145</v>
      </c>
      <c r="B61" s="1" t="s">
        <v>68</v>
      </c>
      <c r="C61" s="1" t="s">
        <v>34</v>
      </c>
      <c r="D61" s="1" t="s">
        <v>33</v>
      </c>
      <c r="E61" s="1">
        <v>44</v>
      </c>
      <c r="F61" s="1">
        <v>5</v>
      </c>
      <c r="G61" s="1">
        <v>220</v>
      </c>
      <c r="H61" s="1" t="s">
        <v>13</v>
      </c>
      <c r="I61" s="1" t="s">
        <v>14</v>
      </c>
      <c r="J61" s="1" t="s">
        <v>23</v>
      </c>
      <c r="K61" s="2">
        <v>45210</v>
      </c>
      <c r="L61" s="2"/>
      <c r="M61" s="2">
        <v>45211</v>
      </c>
      <c r="N61" t="str">
        <f t="shared" si="0"/>
        <v>Yes</v>
      </c>
      <c r="O61" t="str">
        <f>_xlfn.XLOOKUP(C61, 'Product Master'!$A$2:$A$23, 'Product Master'!$C$2:$C$23)</f>
        <v>Fashion</v>
      </c>
      <c r="P61" t="str">
        <f t="shared" si="1"/>
        <v>NA</v>
      </c>
      <c r="Q61" t="str">
        <f>IFERROR(_xlfn.XLOOKUP(B61,'Customer Master'!$A$1:$A$50,'Customer Master'!$B$1:$B$50),"Not Found")</f>
        <v>Ava Robinson</v>
      </c>
      <c r="R61" t="str" cm="1">
        <f t="array" ref="R61">_xlfn.IFS(P61="NA", "NA", P61&lt;=2, "Fast", P61&gt;2, "Slow")</f>
        <v>NA</v>
      </c>
      <c r="S61" t="str">
        <f>_xlfn.XLOOKUP(C61, 'Product Master'!$A$1:$A$23, 'Product Master'!$B$1:$B$23, "Not Found")</f>
        <v>Formal Shirt</v>
      </c>
    </row>
    <row r="62" spans="1:19" x14ac:dyDescent="0.3">
      <c r="A62" s="18" t="s">
        <v>146</v>
      </c>
      <c r="B62" s="1" t="s">
        <v>147</v>
      </c>
      <c r="C62" s="1" t="s">
        <v>42</v>
      </c>
      <c r="D62" s="1" t="s">
        <v>17</v>
      </c>
      <c r="E62" s="1">
        <v>69</v>
      </c>
      <c r="F62" s="1">
        <v>4</v>
      </c>
      <c r="G62" s="1">
        <v>276</v>
      </c>
      <c r="H62" s="1" t="s">
        <v>31</v>
      </c>
      <c r="I62" s="1" t="s">
        <v>22</v>
      </c>
      <c r="J62" s="1" t="s">
        <v>15</v>
      </c>
      <c r="K62" s="2">
        <v>45179</v>
      </c>
      <c r="L62" s="2"/>
      <c r="M62" s="2"/>
      <c r="N62" t="str">
        <f t="shared" si="0"/>
        <v>No</v>
      </c>
      <c r="O62" t="str">
        <f>_xlfn.XLOOKUP(C62, 'Product Master'!$A$2:$A$23, 'Product Master'!$C$2:$C$23)</f>
        <v>Books</v>
      </c>
      <c r="P62" t="str">
        <f t="shared" si="1"/>
        <v>NA</v>
      </c>
      <c r="Q62" t="str">
        <f>IFERROR(_xlfn.XLOOKUP(B62,'Customer Master'!$A$1:$A$50,'Customer Master'!$B$1:$B$50),"Not Found")</f>
        <v>Scarlett Adams</v>
      </c>
      <c r="R62" t="str" cm="1">
        <f t="array" ref="R62">_xlfn.IFS(P62="NA", "NA", P62&lt;=2, "Fast", P62&gt;2, "Slow")</f>
        <v>NA</v>
      </c>
      <c r="S62" t="str">
        <f>_xlfn.XLOOKUP(C62, 'Product Master'!$A$1:$A$23, 'Product Master'!$B$1:$B$23, "Not Found")</f>
        <v>Textbook</v>
      </c>
    </row>
    <row r="63" spans="1:19" x14ac:dyDescent="0.3">
      <c r="A63" s="18" t="s">
        <v>148</v>
      </c>
      <c r="B63" s="1" t="s">
        <v>149</v>
      </c>
      <c r="C63" s="1" t="s">
        <v>43</v>
      </c>
      <c r="D63" s="1" t="s">
        <v>12</v>
      </c>
      <c r="E63" s="1">
        <v>815</v>
      </c>
      <c r="F63" s="1">
        <v>4</v>
      </c>
      <c r="G63" s="1">
        <v>3260</v>
      </c>
      <c r="H63" s="1" t="s">
        <v>18</v>
      </c>
      <c r="I63" s="1" t="s">
        <v>19</v>
      </c>
      <c r="J63" s="1" t="s">
        <v>23</v>
      </c>
      <c r="K63" s="2">
        <v>45252</v>
      </c>
      <c r="L63" s="2">
        <v>45259</v>
      </c>
      <c r="M63" s="2"/>
      <c r="N63" t="str">
        <f t="shared" si="0"/>
        <v>No</v>
      </c>
      <c r="O63" t="str">
        <f>_xlfn.XLOOKUP(C63, 'Product Master'!$A$2:$A$23, 'Product Master'!$C$2:$C$23)</f>
        <v>Electronics</v>
      </c>
      <c r="P63">
        <f t="shared" si="1"/>
        <v>7</v>
      </c>
      <c r="Q63" t="str">
        <f>IFERROR(_xlfn.XLOOKUP(B63,'Customer Master'!$A$1:$A$50,'Customer Master'!$B$1:$B$50),"Not Found")</f>
        <v>Elijah Lewis</v>
      </c>
      <c r="R63" t="str" cm="1">
        <f t="array" ref="R63">_xlfn.IFS(P63="NA", "NA", P63&lt;=2, "Fast", P63&gt;2, "Slow")</f>
        <v>Slow</v>
      </c>
      <c r="S63" t="str">
        <f>_xlfn.XLOOKUP(C63, 'Product Master'!$A$1:$A$23, 'Product Master'!$B$1:$B$23, "Not Found")</f>
        <v>Smartphone</v>
      </c>
    </row>
    <row r="64" spans="1:19" x14ac:dyDescent="0.3">
      <c r="A64" s="18" t="s">
        <v>150</v>
      </c>
      <c r="B64" s="1" t="s">
        <v>151</v>
      </c>
      <c r="C64" s="1" t="s">
        <v>40</v>
      </c>
      <c r="D64" s="1" t="s">
        <v>17</v>
      </c>
      <c r="E64" s="1">
        <v>27</v>
      </c>
      <c r="F64" s="1">
        <v>1</v>
      </c>
      <c r="G64" s="1">
        <v>27</v>
      </c>
      <c r="H64" s="1" t="s">
        <v>31</v>
      </c>
      <c r="I64" s="1" t="s">
        <v>22</v>
      </c>
      <c r="J64" s="1" t="s">
        <v>27</v>
      </c>
      <c r="K64" s="2">
        <v>45048</v>
      </c>
      <c r="L64" s="2"/>
      <c r="M64" s="2"/>
      <c r="N64" t="str">
        <f t="shared" si="0"/>
        <v>No</v>
      </c>
      <c r="O64" t="str">
        <f>_xlfn.XLOOKUP(C64, 'Product Master'!$A$2:$A$23, 'Product Master'!$C$2:$C$23)</f>
        <v>Fashion</v>
      </c>
      <c r="P64" t="str">
        <f t="shared" si="1"/>
        <v>NA</v>
      </c>
      <c r="Q64" t="str">
        <f>IFERROR(_xlfn.XLOOKUP(B64,'Customer Master'!$A$1:$A$50,'Customer Master'!$B$1:$B$50),"Not Found")</f>
        <v>Noah Wilson</v>
      </c>
      <c r="R64" t="str" cm="1">
        <f t="array" ref="R64">_xlfn.IFS(P64="NA", "NA", P64&lt;=2, "Fast", P64&gt;2, "Slow")</f>
        <v>NA</v>
      </c>
      <c r="S64" t="str">
        <f>_xlfn.XLOOKUP(C64, 'Product Master'!$A$1:$A$23, 'Product Master'!$B$1:$B$23, "Not Found")</f>
        <v>T-Shirt</v>
      </c>
    </row>
    <row r="65" spans="1:19" x14ac:dyDescent="0.3">
      <c r="A65" s="18" t="s">
        <v>152</v>
      </c>
      <c r="B65" s="1" t="s">
        <v>153</v>
      </c>
      <c r="C65" s="1" t="s">
        <v>35</v>
      </c>
      <c r="D65" s="1" t="s">
        <v>33</v>
      </c>
      <c r="E65" s="1">
        <v>139</v>
      </c>
      <c r="F65" s="1">
        <v>5</v>
      </c>
      <c r="G65" s="1">
        <v>695</v>
      </c>
      <c r="H65" s="1" t="s">
        <v>13</v>
      </c>
      <c r="I65" s="1" t="s">
        <v>19</v>
      </c>
      <c r="J65" s="1" t="s">
        <v>23</v>
      </c>
      <c r="K65" s="2">
        <v>45285</v>
      </c>
      <c r="L65" s="2">
        <v>45289</v>
      </c>
      <c r="M65" s="2"/>
      <c r="N65" t="str">
        <f t="shared" si="0"/>
        <v>No</v>
      </c>
      <c r="O65" t="str">
        <f>_xlfn.XLOOKUP(C65, 'Product Master'!$A$2:$A$23, 'Product Master'!$C$2:$C$23)</f>
        <v>Home</v>
      </c>
      <c r="P65">
        <f t="shared" si="1"/>
        <v>4</v>
      </c>
      <c r="Q65" t="str">
        <f>IFERROR(_xlfn.XLOOKUP(B65,'Customer Master'!$A$1:$A$50,'Customer Master'!$B$1:$B$50),"Not Found")</f>
        <v>Noah Wilson</v>
      </c>
      <c r="R65" t="str" cm="1">
        <f t="array" ref="R65">_xlfn.IFS(P65="NA", "NA", P65&lt;=2, "Fast", P65&gt;2, "Slow")</f>
        <v>Slow</v>
      </c>
      <c r="S65" t="str">
        <f>_xlfn.XLOOKUP(C65, 'Product Master'!$A$1:$A$23, 'Product Master'!$B$1:$B$23, "Not Found")</f>
        <v>Cookware Set</v>
      </c>
    </row>
    <row r="66" spans="1:19" x14ac:dyDescent="0.3">
      <c r="A66" s="18" t="s">
        <v>154</v>
      </c>
      <c r="B66" s="1" t="s">
        <v>64</v>
      </c>
      <c r="C66" s="1" t="s">
        <v>42</v>
      </c>
      <c r="D66" s="1" t="s">
        <v>21</v>
      </c>
      <c r="E66" s="1">
        <v>69</v>
      </c>
      <c r="F66" s="1">
        <v>3</v>
      </c>
      <c r="G66" s="1">
        <v>207</v>
      </c>
      <c r="H66" s="1" t="s">
        <v>24</v>
      </c>
      <c r="I66" s="1" t="s">
        <v>14</v>
      </c>
      <c r="J66" s="1" t="s">
        <v>27</v>
      </c>
      <c r="K66" s="2">
        <v>45217</v>
      </c>
      <c r="L66" s="2"/>
      <c r="M66" s="2">
        <v>45219</v>
      </c>
      <c r="N66" t="str">
        <f t="shared" si="0"/>
        <v>Yes</v>
      </c>
      <c r="O66" t="str">
        <f>_xlfn.XLOOKUP(C66, 'Product Master'!$A$2:$A$23, 'Product Master'!$C$2:$C$23)</f>
        <v>Books</v>
      </c>
      <c r="P66" t="str">
        <f t="shared" si="1"/>
        <v>NA</v>
      </c>
      <c r="Q66" t="str">
        <f>IFERROR(_xlfn.XLOOKUP(B66,'Customer Master'!$A$1:$A$50,'Customer Master'!$B$1:$B$50),"Not Found")</f>
        <v>Jackson Allen</v>
      </c>
      <c r="R66" t="str" cm="1">
        <f t="array" ref="R66">_xlfn.IFS(P66="NA", "NA", P66&lt;=2, "Fast", P66&gt;2, "Slow")</f>
        <v>NA</v>
      </c>
      <c r="S66" t="str">
        <f>_xlfn.XLOOKUP(C66, 'Product Master'!$A$1:$A$23, 'Product Master'!$B$1:$B$23, "Not Found")</f>
        <v>Textbook</v>
      </c>
    </row>
    <row r="67" spans="1:19" x14ac:dyDescent="0.3">
      <c r="A67" s="18" t="s">
        <v>155</v>
      </c>
      <c r="B67" s="1" t="s">
        <v>64</v>
      </c>
      <c r="C67" s="1" t="s">
        <v>34</v>
      </c>
      <c r="D67" s="1" t="s">
        <v>33</v>
      </c>
      <c r="E67" s="1">
        <v>42</v>
      </c>
      <c r="F67" s="1">
        <v>1</v>
      </c>
      <c r="G67" s="1">
        <v>42</v>
      </c>
      <c r="H67" s="1" t="s">
        <v>13</v>
      </c>
      <c r="I67" s="1" t="s">
        <v>14</v>
      </c>
      <c r="J67" s="1" t="s">
        <v>15</v>
      </c>
      <c r="K67" s="2">
        <v>45066</v>
      </c>
      <c r="L67" s="2"/>
      <c r="M67" s="2">
        <v>45067</v>
      </c>
      <c r="N67" t="str">
        <f t="shared" ref="N67:N101" si="2">IF(OR(I67="Cancelled",M67&lt;&gt;""),"Yes","No")</f>
        <v>Yes</v>
      </c>
      <c r="O67" t="str">
        <f>_xlfn.XLOOKUP(C67, 'Product Master'!$A$2:$A$23, 'Product Master'!$C$2:$C$23)</f>
        <v>Fashion</v>
      </c>
      <c r="P67" t="str">
        <f t="shared" ref="P67:P101" si="3">IF(L67&lt;&gt;"", L67-K67, "NA")</f>
        <v>NA</v>
      </c>
      <c r="Q67" t="str">
        <f>IFERROR(_xlfn.XLOOKUP(B67,'Customer Master'!$A$1:$A$50,'Customer Master'!$B$1:$B$50),"Not Found")</f>
        <v>Jackson Allen</v>
      </c>
      <c r="R67" t="str" cm="1">
        <f t="array" ref="R67">_xlfn.IFS(P67="NA", "NA", P67&lt;=2, "Fast", P67&gt;2, "Slow")</f>
        <v>NA</v>
      </c>
      <c r="S67" t="str">
        <f>_xlfn.XLOOKUP(C67, 'Product Master'!$A$1:$A$23, 'Product Master'!$B$1:$B$23, "Not Found")</f>
        <v>Formal Shirt</v>
      </c>
    </row>
    <row r="68" spans="1:19" x14ac:dyDescent="0.3">
      <c r="A68" s="18" t="s">
        <v>156</v>
      </c>
      <c r="B68" s="1" t="s">
        <v>157</v>
      </c>
      <c r="C68" s="1" t="s">
        <v>49</v>
      </c>
      <c r="D68" s="1" t="s">
        <v>12</v>
      </c>
      <c r="E68" s="1">
        <v>31</v>
      </c>
      <c r="F68" s="1">
        <v>4</v>
      </c>
      <c r="G68" s="1">
        <v>124</v>
      </c>
      <c r="H68" s="1" t="s">
        <v>18</v>
      </c>
      <c r="I68" s="1" t="s">
        <v>19</v>
      </c>
      <c r="J68" s="1" t="s">
        <v>25</v>
      </c>
      <c r="K68" s="2">
        <v>45135</v>
      </c>
      <c r="L68" s="2">
        <v>45137</v>
      </c>
      <c r="M68" s="2"/>
      <c r="N68" t="str">
        <f t="shared" si="2"/>
        <v>No</v>
      </c>
      <c r="O68" t="str">
        <f>_xlfn.XLOOKUP(C68, 'Product Master'!$A$2:$A$23, 'Product Master'!$C$2:$C$23)</f>
        <v>Toys</v>
      </c>
      <c r="P68">
        <f t="shared" si="3"/>
        <v>2</v>
      </c>
      <c r="Q68" t="str">
        <f>IFERROR(_xlfn.XLOOKUP(B68,'Customer Master'!$A$1:$A$50,'Customer Master'!$B$1:$B$50),"Not Found")</f>
        <v>Not Found</v>
      </c>
      <c r="R68" t="str" cm="1">
        <f t="array" ref="R68">_xlfn.IFS(P68="NA", "NA", P68&lt;=2, "Fast", P68&gt;2, "Slow")</f>
        <v>Fast</v>
      </c>
      <c r="S68" t="str">
        <f>_xlfn.XLOOKUP(C68, 'Product Master'!$A$1:$A$23, 'Product Master'!$B$1:$B$23, "Not Found")</f>
        <v>Puzzle</v>
      </c>
    </row>
    <row r="69" spans="1:19" x14ac:dyDescent="0.3">
      <c r="A69" s="18" t="s">
        <v>158</v>
      </c>
      <c r="B69" s="1" t="s">
        <v>75</v>
      </c>
      <c r="C69" s="1" t="s">
        <v>29</v>
      </c>
      <c r="D69" s="1" t="s">
        <v>33</v>
      </c>
      <c r="E69" s="1">
        <v>104</v>
      </c>
      <c r="F69" s="1">
        <v>3</v>
      </c>
      <c r="G69" s="1">
        <v>312</v>
      </c>
      <c r="H69" s="1" t="s">
        <v>18</v>
      </c>
      <c r="I69" s="1" t="s">
        <v>22</v>
      </c>
      <c r="J69" s="1" t="s">
        <v>25</v>
      </c>
      <c r="K69" s="2">
        <v>45278</v>
      </c>
      <c r="L69" s="2"/>
      <c r="M69" s="2"/>
      <c r="N69" t="str">
        <f t="shared" si="2"/>
        <v>No</v>
      </c>
      <c r="O69" t="str">
        <f>_xlfn.XLOOKUP(C69, 'Product Master'!$A$2:$A$23, 'Product Master'!$C$2:$C$23)</f>
        <v>Electronics</v>
      </c>
      <c r="P69" t="str">
        <f t="shared" si="3"/>
        <v>NA</v>
      </c>
      <c r="Q69" t="str">
        <f>IFERROR(_xlfn.XLOOKUP(B69,'Customer Master'!$A$1:$A$50,'Customer Master'!$B$1:$B$50),"Not Found")</f>
        <v>Emily Johnson</v>
      </c>
      <c r="R69" t="str" cm="1">
        <f t="array" ref="R69">_xlfn.IFS(P69="NA", "NA", P69&lt;=2, "Fast", P69&gt;2, "Slow")</f>
        <v>NA</v>
      </c>
      <c r="S69" t="str">
        <f>_xlfn.XLOOKUP(C69, 'Product Master'!$A$1:$A$23, 'Product Master'!$B$1:$B$23, "Not Found")</f>
        <v>Bluetooth Speaker</v>
      </c>
    </row>
    <row r="70" spans="1:19" x14ac:dyDescent="0.3">
      <c r="A70" s="18" t="s">
        <v>159</v>
      </c>
      <c r="B70" s="1" t="s">
        <v>60</v>
      </c>
      <c r="C70" s="1" t="s">
        <v>26</v>
      </c>
      <c r="D70" s="1" t="s">
        <v>17</v>
      </c>
      <c r="E70" s="1">
        <v>58</v>
      </c>
      <c r="F70" s="1">
        <v>2</v>
      </c>
      <c r="G70" s="1">
        <v>116</v>
      </c>
      <c r="H70" s="1" t="s">
        <v>13</v>
      </c>
      <c r="I70" s="1" t="s">
        <v>14</v>
      </c>
      <c r="J70" s="1" t="s">
        <v>23</v>
      </c>
      <c r="K70" s="2">
        <v>45109</v>
      </c>
      <c r="L70" s="2"/>
      <c r="M70" s="2">
        <v>45114</v>
      </c>
      <c r="N70" t="str">
        <f t="shared" si="2"/>
        <v>Yes</v>
      </c>
      <c r="O70" t="str">
        <f>_xlfn.XLOOKUP(C70, 'Product Master'!$A$2:$A$23, 'Product Master'!$C$2:$C$23)</f>
        <v>Fashion</v>
      </c>
      <c r="P70" t="str">
        <f t="shared" si="3"/>
        <v>NA</v>
      </c>
      <c r="Q70" t="str">
        <f>IFERROR(_xlfn.XLOOKUP(B70,'Customer Master'!$A$1:$A$50,'Customer Master'!$B$1:$B$50),"Not Found")</f>
        <v>Grace Ward</v>
      </c>
      <c r="R70" t="str" cm="1">
        <f t="array" ref="R70">_xlfn.IFS(P70="NA", "NA", P70&lt;=2, "Fast", P70&gt;2, "Slow")</f>
        <v>NA</v>
      </c>
      <c r="S70" t="str">
        <f>_xlfn.XLOOKUP(C70, 'Product Master'!$A$1:$A$23, 'Product Master'!$B$1:$B$23, "Not Found")</f>
        <v>Jeans</v>
      </c>
    </row>
    <row r="71" spans="1:19" x14ac:dyDescent="0.3">
      <c r="A71" s="18" t="s">
        <v>160</v>
      </c>
      <c r="B71" s="1" t="s">
        <v>64</v>
      </c>
      <c r="C71" s="1" t="s">
        <v>50</v>
      </c>
      <c r="D71" s="1" t="s">
        <v>33</v>
      </c>
      <c r="E71" s="1">
        <v>62</v>
      </c>
      <c r="F71" s="1">
        <v>2</v>
      </c>
      <c r="G71" s="1">
        <v>124</v>
      </c>
      <c r="H71" s="1" t="s">
        <v>31</v>
      </c>
      <c r="I71" s="1" t="s">
        <v>14</v>
      </c>
      <c r="J71" s="1" t="s">
        <v>15</v>
      </c>
      <c r="K71" s="2">
        <v>45208</v>
      </c>
      <c r="L71" s="2"/>
      <c r="M71" s="2">
        <v>45209</v>
      </c>
      <c r="N71" t="str">
        <f t="shared" si="2"/>
        <v>Yes</v>
      </c>
      <c r="O71" t="str">
        <f>_xlfn.XLOOKUP(C71, 'Product Master'!$A$2:$A$23, 'Product Master'!$C$2:$C$23)</f>
        <v>Toys</v>
      </c>
      <c r="P71" t="str">
        <f t="shared" si="3"/>
        <v>NA</v>
      </c>
      <c r="Q71" t="str">
        <f>IFERROR(_xlfn.XLOOKUP(B71,'Customer Master'!$A$1:$A$50,'Customer Master'!$B$1:$B$50),"Not Found")</f>
        <v>Jackson Allen</v>
      </c>
      <c r="R71" t="str" cm="1">
        <f t="array" ref="R71">_xlfn.IFS(P71="NA", "NA", P71&lt;=2, "Fast", P71&gt;2, "Slow")</f>
        <v>NA</v>
      </c>
      <c r="S71" t="str">
        <f>_xlfn.XLOOKUP(C71, 'Product Master'!$A$1:$A$23, 'Product Master'!$B$1:$B$23, "Not Found")</f>
        <v>Leg Set</v>
      </c>
    </row>
    <row r="72" spans="1:19" x14ac:dyDescent="0.3">
      <c r="A72" s="18" t="s">
        <v>161</v>
      </c>
      <c r="B72" s="1" t="s">
        <v>120</v>
      </c>
      <c r="C72" s="1" t="s">
        <v>34</v>
      </c>
      <c r="D72" s="1" t="s">
        <v>17</v>
      </c>
      <c r="E72" s="1">
        <v>43</v>
      </c>
      <c r="F72" s="1">
        <v>1</v>
      </c>
      <c r="G72" s="1">
        <v>43</v>
      </c>
      <c r="H72" s="1" t="s">
        <v>18</v>
      </c>
      <c r="I72" s="1" t="s">
        <v>19</v>
      </c>
      <c r="J72" s="1" t="s">
        <v>27</v>
      </c>
      <c r="K72" s="2">
        <v>45278</v>
      </c>
      <c r="L72" s="2">
        <v>45285</v>
      </c>
      <c r="M72" s="2"/>
      <c r="N72" t="str">
        <f t="shared" si="2"/>
        <v>No</v>
      </c>
      <c r="O72" t="str">
        <f>_xlfn.XLOOKUP(C72, 'Product Master'!$A$2:$A$23, 'Product Master'!$C$2:$C$23)</f>
        <v>Fashion</v>
      </c>
      <c r="P72">
        <f t="shared" si="3"/>
        <v>7</v>
      </c>
      <c r="Q72" t="str">
        <f>IFERROR(_xlfn.XLOOKUP(B72,'Customer Master'!$A$1:$A$50,'Customer Master'!$B$1:$B$50),"Not Found")</f>
        <v>Ava Robinson</v>
      </c>
      <c r="R72" t="str" cm="1">
        <f t="array" ref="R72">_xlfn.IFS(P72="NA", "NA", P72&lt;=2, "Fast", P72&gt;2, "Slow")</f>
        <v>Slow</v>
      </c>
      <c r="S72" t="str">
        <f>_xlfn.XLOOKUP(C72, 'Product Master'!$A$1:$A$23, 'Product Master'!$B$1:$B$23, "Not Found")</f>
        <v>Formal Shirt</v>
      </c>
    </row>
    <row r="73" spans="1:19" x14ac:dyDescent="0.3">
      <c r="A73" s="18" t="s">
        <v>162</v>
      </c>
      <c r="B73" s="1" t="s">
        <v>149</v>
      </c>
      <c r="C73" s="1" t="s">
        <v>50</v>
      </c>
      <c r="D73" s="1" t="s">
        <v>17</v>
      </c>
      <c r="E73" s="1">
        <v>62</v>
      </c>
      <c r="F73" s="1">
        <v>4</v>
      </c>
      <c r="G73" s="1">
        <v>248</v>
      </c>
      <c r="H73" s="1" t="s">
        <v>31</v>
      </c>
      <c r="I73" s="1" t="s">
        <v>22</v>
      </c>
      <c r="J73" s="1" t="s">
        <v>27</v>
      </c>
      <c r="K73" s="2">
        <v>44992</v>
      </c>
      <c r="L73" s="2"/>
      <c r="M73" s="2"/>
      <c r="N73" t="str">
        <f t="shared" si="2"/>
        <v>No</v>
      </c>
      <c r="O73" t="str">
        <f>_xlfn.XLOOKUP(C73, 'Product Master'!$A$2:$A$23, 'Product Master'!$C$2:$C$23)</f>
        <v>Toys</v>
      </c>
      <c r="P73" t="str">
        <f t="shared" si="3"/>
        <v>NA</v>
      </c>
      <c r="Q73" t="str">
        <f>IFERROR(_xlfn.XLOOKUP(B73,'Customer Master'!$A$1:$A$50,'Customer Master'!$B$1:$B$50),"Not Found")</f>
        <v>Elijah Lewis</v>
      </c>
      <c r="R73" t="str" cm="1">
        <f t="array" ref="R73">_xlfn.IFS(P73="NA", "NA", P73&lt;=2, "Fast", P73&gt;2, "Slow")</f>
        <v>NA</v>
      </c>
      <c r="S73" t="str">
        <f>_xlfn.XLOOKUP(C73, 'Product Master'!$A$1:$A$23, 'Product Master'!$B$1:$B$23, "Not Found")</f>
        <v>Leg Set</v>
      </c>
    </row>
    <row r="74" spans="1:19" x14ac:dyDescent="0.3">
      <c r="A74" s="18" t="s">
        <v>163</v>
      </c>
      <c r="B74" s="1" t="s">
        <v>95</v>
      </c>
      <c r="C74" s="1" t="s">
        <v>38</v>
      </c>
      <c r="D74" s="1" t="s">
        <v>12</v>
      </c>
      <c r="E74" s="1">
        <v>95</v>
      </c>
      <c r="F74" s="1">
        <v>2</v>
      </c>
      <c r="G74" s="1">
        <v>190</v>
      </c>
      <c r="H74" s="1" t="s">
        <v>24</v>
      </c>
      <c r="I74" s="1" t="s">
        <v>14</v>
      </c>
      <c r="J74" s="1" t="s">
        <v>25</v>
      </c>
      <c r="K74" s="2">
        <v>45129</v>
      </c>
      <c r="L74" s="2"/>
      <c r="M74" s="2">
        <v>45132</v>
      </c>
      <c r="N74" t="str">
        <f t="shared" si="2"/>
        <v>Yes</v>
      </c>
      <c r="O74" t="str">
        <f>_xlfn.XLOOKUP(C74, 'Product Master'!$A$2:$A$23, 'Product Master'!$C$2:$C$23)</f>
        <v>Fashion</v>
      </c>
      <c r="P74" t="str">
        <f t="shared" si="3"/>
        <v>NA</v>
      </c>
      <c r="Q74" t="str">
        <f>IFERROR(_xlfn.XLOOKUP(B74,'Customer Master'!$A$1:$A$50,'Customer Master'!$B$1:$B$50),"Not Found")</f>
        <v>Lily Bennett</v>
      </c>
      <c r="R74" t="str" cm="1">
        <f t="array" ref="R74">_xlfn.IFS(P74="NA", "NA", P74&lt;=2, "Fast", P74&gt;2, "Slow")</f>
        <v>NA</v>
      </c>
      <c r="S74" t="str">
        <f>_xlfn.XLOOKUP(C74, 'Product Master'!$A$1:$A$23, 'Product Master'!$B$1:$B$23, "Not Found")</f>
        <v>Shoes</v>
      </c>
    </row>
    <row r="75" spans="1:19" x14ac:dyDescent="0.3">
      <c r="A75" s="18" t="s">
        <v>164</v>
      </c>
      <c r="B75" s="1" t="s">
        <v>93</v>
      </c>
      <c r="C75" s="1" t="s">
        <v>32</v>
      </c>
      <c r="D75" s="1" t="s">
        <v>30</v>
      </c>
      <c r="E75" s="1">
        <v>36</v>
      </c>
      <c r="F75" s="1">
        <v>4</v>
      </c>
      <c r="G75" s="1">
        <v>144</v>
      </c>
      <c r="H75" s="1" t="s">
        <v>13</v>
      </c>
      <c r="I75" s="1" t="s">
        <v>19</v>
      </c>
      <c r="J75" s="1" t="s">
        <v>37</v>
      </c>
      <c r="K75" s="2">
        <v>44944</v>
      </c>
      <c r="L75" s="2">
        <v>44950</v>
      </c>
      <c r="M75" s="2"/>
      <c r="N75" t="str">
        <f t="shared" si="2"/>
        <v>No</v>
      </c>
      <c r="O75" t="str">
        <f>_xlfn.XLOOKUP(C75, 'Product Master'!$A$2:$A$23, 'Product Master'!$C$2:$C$23)</f>
        <v>Home</v>
      </c>
      <c r="P75">
        <f t="shared" si="3"/>
        <v>6</v>
      </c>
      <c r="Q75" t="str">
        <f>IFERROR(_xlfn.XLOOKUP(B75,'Customer Master'!$A$1:$A$50,'Customer Master'!$B$1:$B$50),"Not Found")</f>
        <v>Elijah Lewis</v>
      </c>
      <c r="R75" t="str" cm="1">
        <f t="array" ref="R75">_xlfn.IFS(P75="NA", "NA", P75&lt;=2, "Fast", P75&gt;2, "Slow")</f>
        <v>Slow</v>
      </c>
      <c r="S75" t="str">
        <f>_xlfn.XLOOKUP(C75, 'Product Master'!$A$1:$A$23, 'Product Master'!$B$1:$B$23, "Not Found")</f>
        <v>Wall Clock</v>
      </c>
    </row>
    <row r="76" spans="1:19" x14ac:dyDescent="0.3">
      <c r="A76" s="18" t="s">
        <v>165</v>
      </c>
      <c r="B76" s="1" t="s">
        <v>66</v>
      </c>
      <c r="C76" s="1" t="s">
        <v>39</v>
      </c>
      <c r="D76" s="1" t="s">
        <v>17</v>
      </c>
      <c r="E76" s="1">
        <v>73</v>
      </c>
      <c r="F76" s="1">
        <v>5</v>
      </c>
      <c r="G76" s="1">
        <v>365</v>
      </c>
      <c r="H76" s="1" t="s">
        <v>13</v>
      </c>
      <c r="I76" s="1" t="s">
        <v>22</v>
      </c>
      <c r="J76" s="1" t="s">
        <v>15</v>
      </c>
      <c r="K76" s="2">
        <v>45070</v>
      </c>
      <c r="L76" s="2"/>
      <c r="M76" s="2"/>
      <c r="N76" t="str">
        <f t="shared" si="2"/>
        <v>No</v>
      </c>
      <c r="O76" t="str">
        <f>_xlfn.XLOOKUP(C76, 'Product Master'!$A$2:$A$23, 'Product Master'!$C$2:$C$23)</f>
        <v>Electronics</v>
      </c>
      <c r="P76" t="str">
        <f t="shared" si="3"/>
        <v>NA</v>
      </c>
      <c r="Q76" t="str">
        <f>IFERROR(_xlfn.XLOOKUP(B76,'Customer Master'!$A$1:$A$50,'Customer Master'!$B$1:$B$50),"Not Found")</f>
        <v>Noah Wilson</v>
      </c>
      <c r="R76" t="str" cm="1">
        <f t="array" ref="R76">_xlfn.IFS(P76="NA", "NA", P76&lt;=2, "Fast", P76&gt;2, "Slow")</f>
        <v>NA</v>
      </c>
      <c r="S76" t="str">
        <f>_xlfn.XLOOKUP(C76, 'Product Master'!$A$1:$A$23, 'Product Master'!$B$1:$B$23, "Not Found")</f>
        <v>Gaming Mouse</v>
      </c>
    </row>
    <row r="77" spans="1:19" x14ac:dyDescent="0.3">
      <c r="A77" s="18" t="s">
        <v>166</v>
      </c>
      <c r="B77" s="1" t="s">
        <v>77</v>
      </c>
      <c r="C77" s="1" t="s">
        <v>34</v>
      </c>
      <c r="D77" s="1" t="s">
        <v>12</v>
      </c>
      <c r="E77" s="1">
        <v>43</v>
      </c>
      <c r="F77" s="1">
        <v>4</v>
      </c>
      <c r="G77" s="1">
        <v>172</v>
      </c>
      <c r="H77" s="1" t="s">
        <v>31</v>
      </c>
      <c r="I77" s="1" t="s">
        <v>19</v>
      </c>
      <c r="J77" s="1" t="s">
        <v>15</v>
      </c>
      <c r="K77" s="2">
        <v>45172</v>
      </c>
      <c r="L77" s="2">
        <v>45178</v>
      </c>
      <c r="M77" s="2"/>
      <c r="N77" t="str">
        <f t="shared" si="2"/>
        <v>No</v>
      </c>
      <c r="O77" t="str">
        <f>_xlfn.XLOOKUP(C77, 'Product Master'!$A$2:$A$23, 'Product Master'!$C$2:$C$23)</f>
        <v>Fashion</v>
      </c>
      <c r="P77">
        <f t="shared" si="3"/>
        <v>6</v>
      </c>
      <c r="Q77" t="str">
        <f>IFERROR(_xlfn.XLOOKUP(B77,'Customer Master'!$A$1:$A$50,'Customer Master'!$B$1:$B$50),"Not Found")</f>
        <v>Charlotte Reed</v>
      </c>
      <c r="R77" t="str" cm="1">
        <f t="array" ref="R77">_xlfn.IFS(P77="NA", "NA", P77&lt;=2, "Fast", P77&gt;2, "Slow")</f>
        <v>Slow</v>
      </c>
      <c r="S77" t="str">
        <f>_xlfn.XLOOKUP(C77, 'Product Master'!$A$1:$A$23, 'Product Master'!$B$1:$B$23, "Not Found")</f>
        <v>Formal Shirt</v>
      </c>
    </row>
    <row r="78" spans="1:19" x14ac:dyDescent="0.3">
      <c r="A78" s="18" t="s">
        <v>167</v>
      </c>
      <c r="B78" s="1" t="s">
        <v>151</v>
      </c>
      <c r="C78" s="1" t="s">
        <v>48</v>
      </c>
      <c r="D78" s="1" t="s">
        <v>33</v>
      </c>
      <c r="E78" s="1">
        <v>214</v>
      </c>
      <c r="F78" s="1">
        <v>5</v>
      </c>
      <c r="G78" s="1">
        <v>1070</v>
      </c>
      <c r="H78" s="1" t="s">
        <v>31</v>
      </c>
      <c r="I78" s="1" t="s">
        <v>19</v>
      </c>
      <c r="J78" s="1" t="s">
        <v>25</v>
      </c>
      <c r="K78" s="2">
        <v>45232</v>
      </c>
      <c r="L78" s="2">
        <v>45234</v>
      </c>
      <c r="M78" s="2"/>
      <c r="N78" t="str">
        <f t="shared" si="2"/>
        <v>No</v>
      </c>
      <c r="O78" t="str">
        <f>_xlfn.XLOOKUP(C78, 'Product Master'!$A$2:$A$23, 'Product Master'!$C$2:$C$23)</f>
        <v>Home</v>
      </c>
      <c r="P78">
        <f t="shared" si="3"/>
        <v>2</v>
      </c>
      <c r="Q78" t="str">
        <f>IFERROR(_xlfn.XLOOKUP(B78,'Customer Master'!$A$1:$A$50,'Customer Master'!$B$1:$B$50),"Not Found")</f>
        <v>Noah Wilson</v>
      </c>
      <c r="R78" t="str" cm="1">
        <f t="array" ref="R78">_xlfn.IFS(P78="NA", "NA", P78&lt;=2, "Fast", P78&gt;2, "Slow")</f>
        <v>Fast</v>
      </c>
      <c r="S78" t="str">
        <f>_xlfn.XLOOKUP(C78, 'Product Master'!$A$1:$A$23, 'Product Master'!$B$1:$B$23, "Not Found")</f>
        <v>Cookware Set Pro</v>
      </c>
    </row>
    <row r="79" spans="1:19" x14ac:dyDescent="0.3">
      <c r="A79" s="18" t="s">
        <v>168</v>
      </c>
      <c r="B79" s="1" t="s">
        <v>153</v>
      </c>
      <c r="C79" s="1" t="s">
        <v>44</v>
      </c>
      <c r="D79" s="1" t="s">
        <v>30</v>
      </c>
      <c r="E79" s="1">
        <v>42</v>
      </c>
      <c r="F79" s="1">
        <v>2</v>
      </c>
      <c r="G79" s="1">
        <v>84</v>
      </c>
      <c r="H79" s="1" t="s">
        <v>13</v>
      </c>
      <c r="I79" s="1" t="s">
        <v>14</v>
      </c>
      <c r="J79" s="1" t="s">
        <v>25</v>
      </c>
      <c r="K79" s="2">
        <v>45263</v>
      </c>
      <c r="L79" s="2"/>
      <c r="M79" s="2">
        <v>45266</v>
      </c>
      <c r="N79" t="str">
        <f t="shared" si="2"/>
        <v>Yes</v>
      </c>
      <c r="O79" t="str">
        <f>_xlfn.XLOOKUP(C79, 'Product Master'!$A$2:$A$23, 'Product Master'!$C$2:$C$23)</f>
        <v>Toys</v>
      </c>
      <c r="P79" t="str">
        <f t="shared" si="3"/>
        <v>NA</v>
      </c>
      <c r="Q79" t="str">
        <f>IFERROR(_xlfn.XLOOKUP(B79,'Customer Master'!$A$1:$A$50,'Customer Master'!$B$1:$B$50),"Not Found")</f>
        <v>Noah Wilson</v>
      </c>
      <c r="R79" t="str" cm="1">
        <f t="array" ref="R79">_xlfn.IFS(P79="NA", "NA", P79&lt;=2, "Fast", P79&gt;2, "Slow")</f>
        <v>NA</v>
      </c>
      <c r="S79" t="str">
        <f>_xlfn.XLOOKUP(C79, 'Product Master'!$A$1:$A$23, 'Product Master'!$B$1:$B$23, "Not Found")</f>
        <v>Action Figure</v>
      </c>
    </row>
    <row r="80" spans="1:19" x14ac:dyDescent="0.3">
      <c r="A80" s="18" t="s">
        <v>169</v>
      </c>
      <c r="B80" s="1" t="s">
        <v>153</v>
      </c>
      <c r="C80" s="1" t="s">
        <v>11</v>
      </c>
      <c r="D80" s="1" t="s">
        <v>12</v>
      </c>
      <c r="E80" s="1">
        <v>46</v>
      </c>
      <c r="F80" s="1">
        <v>1</v>
      </c>
      <c r="G80" s="1">
        <v>46</v>
      </c>
      <c r="H80" s="1" t="s">
        <v>28</v>
      </c>
      <c r="I80" s="1" t="s">
        <v>22</v>
      </c>
      <c r="J80" s="1" t="s">
        <v>25</v>
      </c>
      <c r="K80" s="2">
        <v>45017</v>
      </c>
      <c r="L80" s="2"/>
      <c r="M80" s="2"/>
      <c r="N80" t="str">
        <f t="shared" si="2"/>
        <v>No</v>
      </c>
      <c r="O80" t="str">
        <f>_xlfn.XLOOKUP(C80, 'Product Master'!$A$2:$A$23, 'Product Master'!$C$2:$C$23)</f>
        <v>Home</v>
      </c>
      <c r="P80" t="str">
        <f t="shared" si="3"/>
        <v>NA</v>
      </c>
      <c r="Q80" t="str">
        <f>IFERROR(_xlfn.XLOOKUP(B80,'Customer Master'!$A$1:$A$50,'Customer Master'!$B$1:$B$50),"Not Found")</f>
        <v>Noah Wilson</v>
      </c>
      <c r="R80" t="str" cm="1">
        <f t="array" ref="R80">_xlfn.IFS(P80="NA", "NA", P80&lt;=2, "Fast", P80&gt;2, "Slow")</f>
        <v>NA</v>
      </c>
      <c r="S80" t="str">
        <f>_xlfn.XLOOKUP(C80, 'Product Master'!$A$1:$A$23, 'Product Master'!$B$1:$B$23, "Not Found")</f>
        <v>Lamp</v>
      </c>
    </row>
    <row r="81" spans="1:19" x14ac:dyDescent="0.3">
      <c r="A81" s="18" t="s">
        <v>170</v>
      </c>
      <c r="B81" s="1" t="s">
        <v>113</v>
      </c>
      <c r="C81" s="1" t="s">
        <v>16</v>
      </c>
      <c r="D81" s="1" t="s">
        <v>17</v>
      </c>
      <c r="E81" s="1">
        <v>95</v>
      </c>
      <c r="F81" s="1">
        <v>4</v>
      </c>
      <c r="G81" s="1">
        <v>380</v>
      </c>
      <c r="H81" s="1" t="s">
        <v>18</v>
      </c>
      <c r="I81" s="1" t="s">
        <v>19</v>
      </c>
      <c r="J81" s="1" t="s">
        <v>25</v>
      </c>
      <c r="K81" s="2">
        <v>45215</v>
      </c>
      <c r="L81" s="2">
        <v>45218</v>
      </c>
      <c r="M81" s="2"/>
      <c r="N81" t="str">
        <f t="shared" si="2"/>
        <v>No</v>
      </c>
      <c r="O81" t="str">
        <f>_xlfn.XLOOKUP(C81, 'Product Master'!$A$2:$A$23, 'Product Master'!$C$2:$C$23)</f>
        <v>Toys</v>
      </c>
      <c r="P81">
        <f t="shared" si="3"/>
        <v>3</v>
      </c>
      <c r="Q81" t="str">
        <f>IFERROR(_xlfn.XLOOKUP(B81,'Customer Master'!$A$1:$A$50,'Customer Master'!$B$1:$B$50),"Not Found")</f>
        <v>Luke Gray</v>
      </c>
      <c r="R81" t="str" cm="1">
        <f t="array" ref="R81">_xlfn.IFS(P81="NA", "NA", P81&lt;=2, "Fast", P81&gt;2, "Slow")</f>
        <v>Slow</v>
      </c>
      <c r="S81" t="str">
        <f>_xlfn.XLOOKUP(C81, 'Product Master'!$A$1:$A$23, 'Product Master'!$B$1:$B$23, "Not Found")</f>
        <v>Doll House</v>
      </c>
    </row>
    <row r="82" spans="1:19" x14ac:dyDescent="0.3">
      <c r="A82" s="18" t="s">
        <v>171</v>
      </c>
      <c r="B82" s="1" t="s">
        <v>122</v>
      </c>
      <c r="C82" s="1" t="s">
        <v>47</v>
      </c>
      <c r="D82" s="1" t="s">
        <v>33</v>
      </c>
      <c r="E82" s="1">
        <v>174</v>
      </c>
      <c r="F82" s="1">
        <v>2</v>
      </c>
      <c r="G82" s="1">
        <v>348</v>
      </c>
      <c r="H82" s="1" t="s">
        <v>24</v>
      </c>
      <c r="I82" s="1" t="s">
        <v>22</v>
      </c>
      <c r="J82" s="1" t="s">
        <v>25</v>
      </c>
      <c r="K82" s="2">
        <v>45235</v>
      </c>
      <c r="L82" s="2"/>
      <c r="M82" s="2"/>
      <c r="N82" t="str">
        <f t="shared" si="2"/>
        <v>No</v>
      </c>
      <c r="O82" t="str">
        <f>_xlfn.XLOOKUP(C82, 'Product Master'!$A$2:$A$23, 'Product Master'!$C$2:$C$23)</f>
        <v>Electronics</v>
      </c>
      <c r="P82" t="str">
        <f t="shared" si="3"/>
        <v>NA</v>
      </c>
      <c r="Q82" t="str">
        <f>IFERROR(_xlfn.XLOOKUP(B82,'Customer Master'!$A$1:$A$50,'Customer Master'!$B$1:$B$50),"Not Found")</f>
        <v>James Miller</v>
      </c>
      <c r="R82" t="str" cm="1">
        <f t="array" ref="R82">_xlfn.IFS(P82="NA", "NA", P82&lt;=2, "Fast", P82&gt;2, "Slow")</f>
        <v>NA</v>
      </c>
      <c r="S82" t="str">
        <f>_xlfn.XLOOKUP(C82, 'Product Master'!$A$1:$A$23, 'Product Master'!$B$1:$B$23, "Not Found")</f>
        <v>Headphones</v>
      </c>
    </row>
    <row r="83" spans="1:19" x14ac:dyDescent="0.3">
      <c r="A83" s="18" t="s">
        <v>172</v>
      </c>
      <c r="B83" s="1" t="s">
        <v>73</v>
      </c>
      <c r="C83" s="1" t="s">
        <v>40</v>
      </c>
      <c r="D83" s="1" t="s">
        <v>12</v>
      </c>
      <c r="E83" s="1">
        <v>27</v>
      </c>
      <c r="F83" s="1">
        <v>5</v>
      </c>
      <c r="G83" s="1">
        <v>135</v>
      </c>
      <c r="H83" s="1" t="s">
        <v>18</v>
      </c>
      <c r="I83" s="1" t="s">
        <v>14</v>
      </c>
      <c r="J83" s="1" t="s">
        <v>27</v>
      </c>
      <c r="K83" s="2">
        <v>45092</v>
      </c>
      <c r="L83" s="2"/>
      <c r="M83" s="2">
        <v>45095</v>
      </c>
      <c r="N83" t="str">
        <f t="shared" si="2"/>
        <v>Yes</v>
      </c>
      <c r="O83" t="str">
        <f>_xlfn.XLOOKUP(C83, 'Product Master'!$A$2:$A$23, 'Product Master'!$C$2:$C$23)</f>
        <v>Fashion</v>
      </c>
      <c r="P83" t="str">
        <f t="shared" si="3"/>
        <v>NA</v>
      </c>
      <c r="Q83" t="str">
        <f>IFERROR(_xlfn.XLOOKUP(B83,'Customer Master'!$A$1:$A$50,'Customer Master'!$B$1:$B$50),"Not Found")</f>
        <v>Emily Johnson</v>
      </c>
      <c r="R83" t="str" cm="1">
        <f t="array" ref="R83">_xlfn.IFS(P83="NA", "NA", P83&lt;=2, "Fast", P83&gt;2, "Slow")</f>
        <v>NA</v>
      </c>
      <c r="S83" t="str">
        <f>_xlfn.XLOOKUP(C83, 'Product Master'!$A$1:$A$23, 'Product Master'!$B$1:$B$23, "Not Found")</f>
        <v>T-Shirt</v>
      </c>
    </row>
    <row r="84" spans="1:19" x14ac:dyDescent="0.3">
      <c r="A84" s="18" t="s">
        <v>173</v>
      </c>
      <c r="B84" s="1" t="s">
        <v>55</v>
      </c>
      <c r="C84" s="1" t="s">
        <v>40</v>
      </c>
      <c r="D84" s="1" t="s">
        <v>21</v>
      </c>
      <c r="E84" s="1">
        <v>27</v>
      </c>
      <c r="F84" s="1">
        <v>4</v>
      </c>
      <c r="G84" s="1">
        <v>108</v>
      </c>
      <c r="H84" s="1" t="s">
        <v>24</v>
      </c>
      <c r="I84" s="1" t="s">
        <v>19</v>
      </c>
      <c r="J84" s="1" t="s">
        <v>23</v>
      </c>
      <c r="K84" s="2">
        <v>45227</v>
      </c>
      <c r="L84" s="2">
        <v>45229</v>
      </c>
      <c r="M84" s="2"/>
      <c r="N84" t="str">
        <f t="shared" si="2"/>
        <v>No</v>
      </c>
      <c r="O84" t="str">
        <f>_xlfn.XLOOKUP(C84, 'Product Master'!$A$2:$A$23, 'Product Master'!$C$2:$C$23)</f>
        <v>Fashion</v>
      </c>
      <c r="P84">
        <f t="shared" si="3"/>
        <v>2</v>
      </c>
      <c r="Q84" t="str">
        <f>IFERROR(_xlfn.XLOOKUP(B84,'Customer Master'!$A$1:$A$50,'Customer Master'!$B$1:$B$50),"Not Found")</f>
        <v>Zoe Mitchell</v>
      </c>
      <c r="R84" t="str" cm="1">
        <f t="array" ref="R84">_xlfn.IFS(P84="NA", "NA", P84&lt;=2, "Fast", P84&gt;2, "Slow")</f>
        <v>Fast</v>
      </c>
      <c r="S84" t="str">
        <f>_xlfn.XLOOKUP(C84, 'Product Master'!$A$1:$A$23, 'Product Master'!$B$1:$B$23, "Not Found")</f>
        <v>T-Shirt</v>
      </c>
    </row>
    <row r="85" spans="1:19" x14ac:dyDescent="0.3">
      <c r="A85" s="18" t="s">
        <v>174</v>
      </c>
      <c r="B85" s="1" t="s">
        <v>175</v>
      </c>
      <c r="C85" s="1" t="s">
        <v>45</v>
      </c>
      <c r="D85" s="1" t="s">
        <v>21</v>
      </c>
      <c r="E85" s="1">
        <v>65</v>
      </c>
      <c r="F85" s="1">
        <v>2</v>
      </c>
      <c r="G85" s="1">
        <v>130</v>
      </c>
      <c r="H85" s="1" t="s">
        <v>24</v>
      </c>
      <c r="I85" s="1" t="s">
        <v>22</v>
      </c>
      <c r="J85" s="1" t="s">
        <v>15</v>
      </c>
      <c r="K85" s="2">
        <v>45282</v>
      </c>
      <c r="L85" s="2"/>
      <c r="M85" s="2"/>
      <c r="N85" t="str">
        <f t="shared" si="2"/>
        <v>No</v>
      </c>
      <c r="O85" t="str">
        <f>_xlfn.XLOOKUP(C85, 'Product Master'!$A$2:$A$23, 'Product Master'!$C$2:$C$23)</f>
        <v>Fashion</v>
      </c>
      <c r="P85" t="str">
        <f t="shared" si="3"/>
        <v>NA</v>
      </c>
      <c r="Q85" t="str">
        <f>IFERROR(_xlfn.XLOOKUP(B85,'Customer Master'!$A$1:$A$50,'Customer Master'!$B$1:$B$50),"Not Found")</f>
        <v>Ava White</v>
      </c>
      <c r="R85" t="str" cm="1">
        <f t="array" ref="R85">_xlfn.IFS(P85="NA", "NA", P85&lt;=2, "Fast", P85&gt;2, "Slow")</f>
        <v>NA</v>
      </c>
      <c r="S85" t="str">
        <f>_xlfn.XLOOKUP(C85, 'Product Master'!$A$1:$A$23, 'Product Master'!$B$1:$B$23, "Not Found")</f>
        <v>Backpack</v>
      </c>
    </row>
    <row r="86" spans="1:19" x14ac:dyDescent="0.3">
      <c r="A86" s="18" t="s">
        <v>176</v>
      </c>
      <c r="B86" s="1" t="s">
        <v>75</v>
      </c>
      <c r="C86" s="1" t="s">
        <v>34</v>
      </c>
      <c r="D86" s="1" t="s">
        <v>17</v>
      </c>
      <c r="E86" s="1">
        <v>43</v>
      </c>
      <c r="F86" s="1">
        <v>5</v>
      </c>
      <c r="G86" s="1">
        <v>215</v>
      </c>
      <c r="H86" s="1" t="s">
        <v>31</v>
      </c>
      <c r="I86" s="1" t="s">
        <v>22</v>
      </c>
      <c r="J86" s="1" t="s">
        <v>15</v>
      </c>
      <c r="K86" s="2">
        <v>44992</v>
      </c>
      <c r="L86" s="2"/>
      <c r="M86" s="2"/>
      <c r="N86" t="str">
        <f t="shared" si="2"/>
        <v>No</v>
      </c>
      <c r="O86" t="str">
        <f>_xlfn.XLOOKUP(C86, 'Product Master'!$A$2:$A$23, 'Product Master'!$C$2:$C$23)</f>
        <v>Fashion</v>
      </c>
      <c r="P86" t="str">
        <f t="shared" si="3"/>
        <v>NA</v>
      </c>
      <c r="Q86" t="str">
        <f>IFERROR(_xlfn.XLOOKUP(B86,'Customer Master'!$A$1:$A$50,'Customer Master'!$B$1:$B$50),"Not Found")</f>
        <v>Emily Johnson</v>
      </c>
      <c r="R86" t="str" cm="1">
        <f t="array" ref="R86">_xlfn.IFS(P86="NA", "NA", P86&lt;=2, "Fast", P86&gt;2, "Slow")</f>
        <v>NA</v>
      </c>
      <c r="S86" t="str">
        <f>_xlfn.XLOOKUP(C86, 'Product Master'!$A$1:$A$23, 'Product Master'!$B$1:$B$23, "Not Found")</f>
        <v>Formal Shirt</v>
      </c>
    </row>
    <row r="87" spans="1:19" x14ac:dyDescent="0.3">
      <c r="A87" s="18" t="s">
        <v>177</v>
      </c>
      <c r="B87" s="1" t="s">
        <v>103</v>
      </c>
      <c r="C87" s="1" t="s">
        <v>48</v>
      </c>
      <c r="D87" s="1" t="s">
        <v>33</v>
      </c>
      <c r="E87" s="1">
        <v>210</v>
      </c>
      <c r="F87" s="1">
        <v>1</v>
      </c>
      <c r="G87" s="1">
        <v>210</v>
      </c>
      <c r="H87" s="1" t="s">
        <v>24</v>
      </c>
      <c r="I87" s="1" t="s">
        <v>22</v>
      </c>
      <c r="J87" s="1" t="s">
        <v>25</v>
      </c>
      <c r="K87" s="2">
        <v>45240</v>
      </c>
      <c r="L87" s="2"/>
      <c r="M87" s="2"/>
      <c r="N87" t="str">
        <f t="shared" si="2"/>
        <v>No</v>
      </c>
      <c r="O87" t="str">
        <f>_xlfn.XLOOKUP(C87, 'Product Master'!$A$2:$A$23, 'Product Master'!$C$2:$C$23)</f>
        <v>Home</v>
      </c>
      <c r="P87" t="str">
        <f t="shared" si="3"/>
        <v>NA</v>
      </c>
      <c r="Q87" t="str">
        <f>IFERROR(_xlfn.XLOOKUP(B87,'Customer Master'!$A$1:$A$50,'Customer Master'!$B$1:$B$50),"Not Found")</f>
        <v>Liam Walker</v>
      </c>
      <c r="R87" t="str" cm="1">
        <f t="array" ref="R87">_xlfn.IFS(P87="NA", "NA", P87&lt;=2, "Fast", P87&gt;2, "Slow")</f>
        <v>NA</v>
      </c>
      <c r="S87" t="str">
        <f>_xlfn.XLOOKUP(C87, 'Product Master'!$A$1:$A$23, 'Product Master'!$B$1:$B$23, "Not Found")</f>
        <v>Cookware Set Pro</v>
      </c>
    </row>
    <row r="88" spans="1:19" x14ac:dyDescent="0.3">
      <c r="A88" s="18" t="s">
        <v>178</v>
      </c>
      <c r="B88" s="1" t="s">
        <v>179</v>
      </c>
      <c r="C88" s="1" t="s">
        <v>32</v>
      </c>
      <c r="D88" s="1" t="s">
        <v>21</v>
      </c>
      <c r="E88" s="1">
        <v>37</v>
      </c>
      <c r="F88" s="1">
        <v>3</v>
      </c>
      <c r="G88" s="1">
        <v>111</v>
      </c>
      <c r="H88" s="1" t="s">
        <v>18</v>
      </c>
      <c r="I88" s="1" t="s">
        <v>22</v>
      </c>
      <c r="J88" s="1" t="s">
        <v>25</v>
      </c>
      <c r="K88" s="2">
        <v>45252</v>
      </c>
      <c r="L88" s="2"/>
      <c r="M88" s="2"/>
      <c r="N88" t="str">
        <f t="shared" si="2"/>
        <v>No</v>
      </c>
      <c r="O88" t="str">
        <f>_xlfn.XLOOKUP(C88, 'Product Master'!$A$2:$A$23, 'Product Master'!$C$2:$C$23)</f>
        <v>Home</v>
      </c>
      <c r="P88" t="str">
        <f t="shared" si="3"/>
        <v>NA</v>
      </c>
      <c r="Q88" t="str">
        <f>IFERROR(_xlfn.XLOOKUP(B88,'Customer Master'!$A$1:$A$50,'Customer Master'!$B$1:$B$50),"Not Found")</f>
        <v>Lily Reed</v>
      </c>
      <c r="R88" t="str" cm="1">
        <f t="array" ref="R88">_xlfn.IFS(P88="NA", "NA", P88&lt;=2, "Fast", P88&gt;2, "Slow")</f>
        <v>NA</v>
      </c>
      <c r="S88" t="str">
        <f>_xlfn.XLOOKUP(C88, 'Product Master'!$A$1:$A$23, 'Product Master'!$B$1:$B$23, "Not Found")</f>
        <v>Wall Clock</v>
      </c>
    </row>
    <row r="89" spans="1:19" x14ac:dyDescent="0.3">
      <c r="A89" s="18" t="s">
        <v>180</v>
      </c>
      <c r="B89" s="1" t="s">
        <v>103</v>
      </c>
      <c r="C89" s="1" t="s">
        <v>43</v>
      </c>
      <c r="D89" s="1" t="s">
        <v>21</v>
      </c>
      <c r="E89" s="1">
        <v>788</v>
      </c>
      <c r="F89" s="1">
        <v>4</v>
      </c>
      <c r="G89" s="1">
        <v>3152</v>
      </c>
      <c r="H89" s="1" t="s">
        <v>31</v>
      </c>
      <c r="I89" s="1" t="s">
        <v>22</v>
      </c>
      <c r="J89" s="1" t="s">
        <v>27</v>
      </c>
      <c r="K89" s="2">
        <v>45054</v>
      </c>
      <c r="L89" s="2"/>
      <c r="M89" s="2"/>
      <c r="N89" t="str">
        <f t="shared" si="2"/>
        <v>No</v>
      </c>
      <c r="O89" t="str">
        <f>_xlfn.XLOOKUP(C89, 'Product Master'!$A$2:$A$23, 'Product Master'!$C$2:$C$23)</f>
        <v>Electronics</v>
      </c>
      <c r="P89" t="str">
        <f t="shared" si="3"/>
        <v>NA</v>
      </c>
      <c r="Q89" t="str">
        <f>IFERROR(_xlfn.XLOOKUP(B89,'Customer Master'!$A$1:$A$50,'Customer Master'!$B$1:$B$50),"Not Found")</f>
        <v>Liam Walker</v>
      </c>
      <c r="R89" t="str" cm="1">
        <f t="array" ref="R89">_xlfn.IFS(P89="NA", "NA", P89&lt;=2, "Fast", P89&gt;2, "Slow")</f>
        <v>NA</v>
      </c>
      <c r="S89" t="str">
        <f>_xlfn.XLOOKUP(C89, 'Product Master'!$A$1:$A$23, 'Product Master'!$B$1:$B$23, "Not Found")</f>
        <v>Smartphone</v>
      </c>
    </row>
    <row r="90" spans="1:19" x14ac:dyDescent="0.3">
      <c r="A90" s="18" t="s">
        <v>181</v>
      </c>
      <c r="B90" s="1" t="s">
        <v>103</v>
      </c>
      <c r="C90" s="1" t="s">
        <v>48</v>
      </c>
      <c r="D90" s="1" t="s">
        <v>33</v>
      </c>
      <c r="E90" s="1">
        <v>217</v>
      </c>
      <c r="F90" s="1">
        <v>5</v>
      </c>
      <c r="G90" s="1">
        <v>1085</v>
      </c>
      <c r="H90" s="1" t="s">
        <v>31</v>
      </c>
      <c r="I90" s="1" t="s">
        <v>22</v>
      </c>
      <c r="J90" s="1" t="s">
        <v>37</v>
      </c>
      <c r="K90" s="2">
        <v>45120</v>
      </c>
      <c r="L90" s="2"/>
      <c r="M90" s="2"/>
      <c r="N90" t="str">
        <f t="shared" si="2"/>
        <v>No</v>
      </c>
      <c r="O90" t="str">
        <f>_xlfn.XLOOKUP(C90, 'Product Master'!$A$2:$A$23, 'Product Master'!$C$2:$C$23)</f>
        <v>Home</v>
      </c>
      <c r="P90" t="str">
        <f t="shared" si="3"/>
        <v>NA</v>
      </c>
      <c r="Q90" t="str">
        <f>IFERROR(_xlfn.XLOOKUP(B90,'Customer Master'!$A$1:$A$50,'Customer Master'!$B$1:$B$50),"Not Found")</f>
        <v>Liam Walker</v>
      </c>
      <c r="R90" t="str" cm="1">
        <f t="array" ref="R90">_xlfn.IFS(P90="NA", "NA", P90&lt;=2, "Fast", P90&gt;2, "Slow")</f>
        <v>NA</v>
      </c>
      <c r="S90" t="str">
        <f>_xlfn.XLOOKUP(C90, 'Product Master'!$A$1:$A$23, 'Product Master'!$B$1:$B$23, "Not Found")</f>
        <v>Cookware Set Pro</v>
      </c>
    </row>
    <row r="91" spans="1:19" x14ac:dyDescent="0.3">
      <c r="A91" s="18" t="s">
        <v>182</v>
      </c>
      <c r="B91" s="1" t="s">
        <v>103</v>
      </c>
      <c r="C91" s="1" t="s">
        <v>35</v>
      </c>
      <c r="D91" s="1" t="s">
        <v>33</v>
      </c>
      <c r="E91" s="1">
        <v>138</v>
      </c>
      <c r="F91" s="1">
        <v>4</v>
      </c>
      <c r="G91" s="1">
        <v>552</v>
      </c>
      <c r="H91" s="1" t="s">
        <v>18</v>
      </c>
      <c r="I91" s="1" t="s">
        <v>22</v>
      </c>
      <c r="J91" s="1" t="s">
        <v>37</v>
      </c>
      <c r="K91" s="2">
        <v>44944</v>
      </c>
      <c r="L91" s="2"/>
      <c r="M91" s="2"/>
      <c r="N91" t="str">
        <f t="shared" si="2"/>
        <v>No</v>
      </c>
      <c r="O91" t="str">
        <f>_xlfn.XLOOKUP(C91, 'Product Master'!$A$2:$A$23, 'Product Master'!$C$2:$C$23)</f>
        <v>Home</v>
      </c>
      <c r="P91" t="str">
        <f t="shared" si="3"/>
        <v>NA</v>
      </c>
      <c r="Q91" t="str">
        <f>IFERROR(_xlfn.XLOOKUP(B91,'Customer Master'!$A$1:$A$50,'Customer Master'!$B$1:$B$50),"Not Found")</f>
        <v>Liam Walker</v>
      </c>
      <c r="R91" t="str" cm="1">
        <f t="array" ref="R91">_xlfn.IFS(P91="NA", "NA", P91&lt;=2, "Fast", P91&gt;2, "Slow")</f>
        <v>NA</v>
      </c>
      <c r="S91" t="str">
        <f>_xlfn.XLOOKUP(C91, 'Product Master'!$A$1:$A$23, 'Product Master'!$B$1:$B$23, "Not Found")</f>
        <v>Cookware Set</v>
      </c>
    </row>
    <row r="92" spans="1:19" x14ac:dyDescent="0.3">
      <c r="A92" s="18" t="s">
        <v>183</v>
      </c>
      <c r="B92" s="1" t="s">
        <v>184</v>
      </c>
      <c r="C92" s="1" t="s">
        <v>43</v>
      </c>
      <c r="D92" s="1" t="s">
        <v>30</v>
      </c>
      <c r="E92" s="1">
        <v>803</v>
      </c>
      <c r="F92" s="1">
        <v>2</v>
      </c>
      <c r="G92" s="1">
        <v>1606</v>
      </c>
      <c r="H92" s="1" t="s">
        <v>13</v>
      </c>
      <c r="I92" s="1" t="s">
        <v>19</v>
      </c>
      <c r="J92" s="1" t="s">
        <v>37</v>
      </c>
      <c r="K92" s="2">
        <v>45100</v>
      </c>
      <c r="L92" s="2">
        <v>45106</v>
      </c>
      <c r="M92" s="2"/>
      <c r="N92" t="str">
        <f t="shared" si="2"/>
        <v>No</v>
      </c>
      <c r="O92" t="str">
        <f>_xlfn.XLOOKUP(C92, 'Product Master'!$A$2:$A$23, 'Product Master'!$C$2:$C$23)</f>
        <v>Electronics</v>
      </c>
      <c r="P92">
        <f t="shared" si="3"/>
        <v>6</v>
      </c>
      <c r="Q92" t="str">
        <f>IFERROR(_xlfn.XLOOKUP(B92,'Customer Master'!$A$1:$A$50,'Customer Master'!$B$1:$B$50),"Not Found")</f>
        <v>Mason Collins</v>
      </c>
      <c r="R92" t="str" cm="1">
        <f t="array" ref="R92">_xlfn.IFS(P92="NA", "NA", P92&lt;=2, "Fast", P92&gt;2, "Slow")</f>
        <v>Slow</v>
      </c>
      <c r="S92" t="str">
        <f>_xlfn.XLOOKUP(C92, 'Product Master'!$A$1:$A$23, 'Product Master'!$B$1:$B$23, "Not Found")</f>
        <v>Smartphone</v>
      </c>
    </row>
    <row r="93" spans="1:19" x14ac:dyDescent="0.3">
      <c r="A93" s="18" t="s">
        <v>185</v>
      </c>
      <c r="B93" s="1" t="s">
        <v>70</v>
      </c>
      <c r="C93" s="1" t="s">
        <v>36</v>
      </c>
      <c r="D93" s="1" t="s">
        <v>12</v>
      </c>
      <c r="E93" s="1">
        <v>248</v>
      </c>
      <c r="F93" s="1">
        <v>5</v>
      </c>
      <c r="G93" s="1">
        <v>1240</v>
      </c>
      <c r="H93" s="1" t="s">
        <v>24</v>
      </c>
      <c r="I93" s="1" t="s">
        <v>14</v>
      </c>
      <c r="J93" s="1" t="s">
        <v>25</v>
      </c>
      <c r="K93" s="2">
        <v>44978</v>
      </c>
      <c r="L93" s="2"/>
      <c r="M93" s="2">
        <v>44982</v>
      </c>
      <c r="N93" t="str">
        <f t="shared" si="2"/>
        <v>Yes</v>
      </c>
      <c r="O93" t="str">
        <f>_xlfn.XLOOKUP(C93, 'Product Master'!$A$2:$A$23, 'Product Master'!$C$2:$C$23)</f>
        <v>Electronics</v>
      </c>
      <c r="P93" t="str">
        <f t="shared" si="3"/>
        <v>NA</v>
      </c>
      <c r="Q93" t="str">
        <f>IFERROR(_xlfn.XLOOKUP(B93,'Customer Master'!$A$1:$A$50,'Customer Master'!$B$1:$B$50),"Not Found")</f>
        <v>Olivia Martinez</v>
      </c>
      <c r="R93" t="str" cm="1">
        <f t="array" ref="R93">_xlfn.IFS(P93="NA", "NA", P93&lt;=2, "Fast", P93&gt;2, "Slow")</f>
        <v>NA</v>
      </c>
      <c r="S93" t="str">
        <f>_xlfn.XLOOKUP(C93, 'Product Master'!$A$1:$A$23, 'Product Master'!$B$1:$B$23, "Not Found")</f>
        <v>Smartwatch</v>
      </c>
    </row>
    <row r="94" spans="1:19" x14ac:dyDescent="0.3">
      <c r="A94" s="18" t="s">
        <v>186</v>
      </c>
      <c r="B94" s="1" t="s">
        <v>187</v>
      </c>
      <c r="C94" s="1" t="s">
        <v>48</v>
      </c>
      <c r="D94" s="1" t="s">
        <v>17</v>
      </c>
      <c r="E94" s="1">
        <v>210</v>
      </c>
      <c r="F94" s="1">
        <v>3</v>
      </c>
      <c r="G94" s="1">
        <v>630</v>
      </c>
      <c r="H94" s="1" t="s">
        <v>13</v>
      </c>
      <c r="I94" s="1" t="s">
        <v>19</v>
      </c>
      <c r="J94" s="1" t="s">
        <v>15</v>
      </c>
      <c r="K94" s="2">
        <v>44976</v>
      </c>
      <c r="L94" s="2">
        <v>44978</v>
      </c>
      <c r="M94" s="2"/>
      <c r="N94" t="str">
        <f t="shared" si="2"/>
        <v>No</v>
      </c>
      <c r="O94" t="str">
        <f>_xlfn.XLOOKUP(C94, 'Product Master'!$A$2:$A$23, 'Product Master'!$C$2:$C$23)</f>
        <v>Home</v>
      </c>
      <c r="P94">
        <f t="shared" si="3"/>
        <v>2</v>
      </c>
      <c r="Q94" t="str">
        <f>IFERROR(_xlfn.XLOOKUP(B94,'Customer Master'!$A$1:$A$50,'Customer Master'!$B$1:$B$50),"Not Found")</f>
        <v>Ethan Davis</v>
      </c>
      <c r="R94" t="str" cm="1">
        <f t="array" ref="R94">_xlfn.IFS(P94="NA", "NA", P94&lt;=2, "Fast", P94&gt;2, "Slow")</f>
        <v>Fast</v>
      </c>
      <c r="S94" t="str">
        <f>_xlfn.XLOOKUP(C94, 'Product Master'!$A$1:$A$23, 'Product Master'!$B$1:$B$23, "Not Found")</f>
        <v>Cookware Set Pro</v>
      </c>
    </row>
    <row r="95" spans="1:19" x14ac:dyDescent="0.3">
      <c r="A95" s="18" t="s">
        <v>188</v>
      </c>
      <c r="B95" s="1" t="s">
        <v>70</v>
      </c>
      <c r="C95" s="1" t="s">
        <v>50</v>
      </c>
      <c r="D95" s="1" t="s">
        <v>12</v>
      </c>
      <c r="E95" s="1">
        <v>62</v>
      </c>
      <c r="F95" s="1">
        <v>2</v>
      </c>
      <c r="G95" s="1">
        <v>124</v>
      </c>
      <c r="H95" s="1" t="s">
        <v>18</v>
      </c>
      <c r="I95" s="1" t="s">
        <v>14</v>
      </c>
      <c r="J95" s="1" t="s">
        <v>37</v>
      </c>
      <c r="K95" s="2">
        <v>45265</v>
      </c>
      <c r="L95" s="2"/>
      <c r="M95" s="2">
        <v>45272</v>
      </c>
      <c r="N95" t="str">
        <f t="shared" si="2"/>
        <v>Yes</v>
      </c>
      <c r="O95" t="str">
        <f>_xlfn.XLOOKUP(C95, 'Product Master'!$A$2:$A$23, 'Product Master'!$C$2:$C$23)</f>
        <v>Toys</v>
      </c>
      <c r="P95" t="str">
        <f t="shared" si="3"/>
        <v>NA</v>
      </c>
      <c r="Q95" t="str">
        <f>IFERROR(_xlfn.XLOOKUP(B95,'Customer Master'!$A$1:$A$50,'Customer Master'!$B$1:$B$50),"Not Found")</f>
        <v>Olivia Martinez</v>
      </c>
      <c r="R95" t="str" cm="1">
        <f t="array" ref="R95">_xlfn.IFS(P95="NA", "NA", P95&lt;=2, "Fast", P95&gt;2, "Slow")</f>
        <v>NA</v>
      </c>
      <c r="S95" t="str">
        <f>_xlfn.XLOOKUP(C95, 'Product Master'!$A$1:$A$23, 'Product Master'!$B$1:$B$23, "Not Found")</f>
        <v>Leg Set</v>
      </c>
    </row>
    <row r="96" spans="1:19" x14ac:dyDescent="0.3">
      <c r="A96" s="18" t="s">
        <v>189</v>
      </c>
      <c r="B96" s="1" t="s">
        <v>179</v>
      </c>
      <c r="C96" s="1" t="s">
        <v>46</v>
      </c>
      <c r="D96" s="1" t="s">
        <v>21</v>
      </c>
      <c r="E96" s="1">
        <v>11</v>
      </c>
      <c r="F96" s="1">
        <v>5</v>
      </c>
      <c r="G96" s="1">
        <v>55</v>
      </c>
      <c r="H96" s="1" t="s">
        <v>31</v>
      </c>
      <c r="I96" s="1" t="s">
        <v>14</v>
      </c>
      <c r="J96" s="1" t="s">
        <v>27</v>
      </c>
      <c r="K96" s="2">
        <v>45084</v>
      </c>
      <c r="L96" s="2"/>
      <c r="M96" s="2">
        <v>45089</v>
      </c>
      <c r="N96" t="str">
        <f t="shared" si="2"/>
        <v>Yes</v>
      </c>
      <c r="O96" t="str">
        <f>_xlfn.XLOOKUP(C96, 'Product Master'!$A$2:$A$23, 'Product Master'!$C$2:$C$23)</f>
        <v>Books</v>
      </c>
      <c r="P96" t="str">
        <f t="shared" si="3"/>
        <v>NA</v>
      </c>
      <c r="Q96" t="str">
        <f>IFERROR(_xlfn.XLOOKUP(B96,'Customer Master'!$A$1:$A$50,'Customer Master'!$B$1:$B$50),"Not Found")</f>
        <v>Lily Reed</v>
      </c>
      <c r="R96" t="str" cm="1">
        <f t="array" ref="R96">_xlfn.IFS(P96="NA", "NA", P96&lt;=2, "Fast", P96&gt;2, "Slow")</f>
        <v>NA</v>
      </c>
      <c r="S96" t="str">
        <f>_xlfn.XLOOKUP(C96, 'Product Master'!$A$1:$A$23, 'Product Master'!$B$1:$B$23, "Not Found")</f>
        <v>Magazine</v>
      </c>
    </row>
    <row r="97" spans="1:19" x14ac:dyDescent="0.3">
      <c r="A97" s="18" t="s">
        <v>190</v>
      </c>
      <c r="B97" s="1" t="s">
        <v>140</v>
      </c>
      <c r="C97" s="1" t="s">
        <v>41</v>
      </c>
      <c r="D97" s="1" t="s">
        <v>12</v>
      </c>
      <c r="E97" s="1">
        <v>21</v>
      </c>
      <c r="F97" s="1">
        <v>2</v>
      </c>
      <c r="G97" s="1">
        <v>42</v>
      </c>
      <c r="H97" s="1" t="s">
        <v>28</v>
      </c>
      <c r="I97" s="1" t="s">
        <v>19</v>
      </c>
      <c r="J97" s="1" t="s">
        <v>25</v>
      </c>
      <c r="K97" s="2">
        <v>45116</v>
      </c>
      <c r="L97" s="2">
        <v>45119</v>
      </c>
      <c r="M97" s="2"/>
      <c r="N97" t="str">
        <f t="shared" si="2"/>
        <v>No</v>
      </c>
      <c r="O97" t="str">
        <f>_xlfn.XLOOKUP(C97, 'Product Master'!$A$2:$A$23, 'Product Master'!$C$2:$C$23)</f>
        <v>Books</v>
      </c>
      <c r="P97">
        <f t="shared" si="3"/>
        <v>3</v>
      </c>
      <c r="Q97" t="str">
        <f>IFERROR(_xlfn.XLOOKUP(B97,'Customer Master'!$A$1:$A$50,'Customer Master'!$B$1:$B$50),"Not Found")</f>
        <v>Emma King</v>
      </c>
      <c r="R97" t="str" cm="1">
        <f t="array" ref="R97">_xlfn.IFS(P97="NA", "NA", P97&lt;=2, "Fast", P97&gt;2, "Slow")</f>
        <v>Slow</v>
      </c>
      <c r="S97" t="str">
        <f>_xlfn.XLOOKUP(C97, 'Product Master'!$A$1:$A$23, 'Product Master'!$B$1:$B$23, "Not Found")</f>
        <v>Novel</v>
      </c>
    </row>
    <row r="98" spans="1:19" x14ac:dyDescent="0.3">
      <c r="A98" s="18" t="s">
        <v>191</v>
      </c>
      <c r="B98" s="1" t="s">
        <v>77</v>
      </c>
      <c r="C98" s="1" t="s">
        <v>16</v>
      </c>
      <c r="D98" s="1" t="s">
        <v>33</v>
      </c>
      <c r="E98" s="1">
        <v>95</v>
      </c>
      <c r="F98" s="1">
        <v>5</v>
      </c>
      <c r="G98" s="1">
        <v>475</v>
      </c>
      <c r="H98" s="1" t="s">
        <v>28</v>
      </c>
      <c r="I98" s="1" t="s">
        <v>19</v>
      </c>
      <c r="J98" s="1" t="s">
        <v>27</v>
      </c>
      <c r="K98" s="2">
        <v>45283</v>
      </c>
      <c r="L98" s="2">
        <v>45286</v>
      </c>
      <c r="M98" s="2"/>
      <c r="N98" t="str">
        <f t="shared" si="2"/>
        <v>No</v>
      </c>
      <c r="O98" t="str">
        <f>_xlfn.XLOOKUP(C98, 'Product Master'!$A$2:$A$23, 'Product Master'!$C$2:$C$23)</f>
        <v>Toys</v>
      </c>
      <c r="P98">
        <f t="shared" si="3"/>
        <v>3</v>
      </c>
      <c r="Q98" t="str">
        <f>IFERROR(_xlfn.XLOOKUP(B98,'Customer Master'!$A$1:$A$50,'Customer Master'!$B$1:$B$50),"Not Found")</f>
        <v>Charlotte Reed</v>
      </c>
      <c r="R98" t="str" cm="1">
        <f t="array" ref="R98">_xlfn.IFS(P98="NA", "NA", P98&lt;=2, "Fast", P98&gt;2, "Slow")</f>
        <v>Slow</v>
      </c>
      <c r="S98" t="str">
        <f>_xlfn.XLOOKUP(C98, 'Product Master'!$A$1:$A$23, 'Product Master'!$B$1:$B$23, "Not Found")</f>
        <v>Doll House</v>
      </c>
    </row>
    <row r="99" spans="1:19" x14ac:dyDescent="0.3">
      <c r="A99" s="18" t="s">
        <v>192</v>
      </c>
      <c r="B99" s="1" t="s">
        <v>60</v>
      </c>
      <c r="C99" s="1" t="s">
        <v>48</v>
      </c>
      <c r="D99" s="1" t="s">
        <v>21</v>
      </c>
      <c r="E99" s="1">
        <v>215</v>
      </c>
      <c r="F99" s="1">
        <v>2</v>
      </c>
      <c r="G99" s="1">
        <v>430</v>
      </c>
      <c r="H99" s="1" t="s">
        <v>24</v>
      </c>
      <c r="I99" s="1" t="s">
        <v>19</v>
      </c>
      <c r="J99" s="1" t="s">
        <v>27</v>
      </c>
      <c r="K99" s="2">
        <v>45194</v>
      </c>
      <c r="L99" s="2">
        <v>45199</v>
      </c>
      <c r="M99" s="2"/>
      <c r="N99" t="str">
        <f t="shared" si="2"/>
        <v>No</v>
      </c>
      <c r="O99" t="str">
        <f>_xlfn.XLOOKUP(C99, 'Product Master'!$A$2:$A$23, 'Product Master'!$C$2:$C$23)</f>
        <v>Home</v>
      </c>
      <c r="P99">
        <f t="shared" si="3"/>
        <v>5</v>
      </c>
      <c r="Q99" t="str">
        <f>IFERROR(_xlfn.XLOOKUP(B99,'Customer Master'!$A$1:$A$50,'Customer Master'!$B$1:$B$50),"Not Found")</f>
        <v>Grace Ward</v>
      </c>
      <c r="R99" t="str" cm="1">
        <f t="array" ref="R99">_xlfn.IFS(P99="NA", "NA", P99&lt;=2, "Fast", P99&gt;2, "Slow")</f>
        <v>Slow</v>
      </c>
      <c r="S99" t="str">
        <f>_xlfn.XLOOKUP(C99, 'Product Master'!$A$1:$A$23, 'Product Master'!$B$1:$B$23, "Not Found")</f>
        <v>Cookware Set Pro</v>
      </c>
    </row>
    <row r="100" spans="1:19" x14ac:dyDescent="0.3">
      <c r="A100" s="18" t="s">
        <v>193</v>
      </c>
      <c r="B100" s="1" t="s">
        <v>194</v>
      </c>
      <c r="C100" s="1" t="s">
        <v>34</v>
      </c>
      <c r="D100" s="1" t="s">
        <v>33</v>
      </c>
      <c r="E100" s="1">
        <v>43</v>
      </c>
      <c r="F100" s="1">
        <v>5</v>
      </c>
      <c r="G100" s="1">
        <v>215</v>
      </c>
      <c r="H100" s="1" t="s">
        <v>18</v>
      </c>
      <c r="I100" s="1" t="s">
        <v>14</v>
      </c>
      <c r="J100" s="1" t="s">
        <v>25</v>
      </c>
      <c r="K100" s="2">
        <v>44944</v>
      </c>
      <c r="L100" s="2"/>
      <c r="M100" s="2">
        <v>44950</v>
      </c>
      <c r="N100" t="str">
        <f t="shared" si="2"/>
        <v>Yes</v>
      </c>
      <c r="O100" t="str">
        <f>_xlfn.XLOOKUP(C100, 'Product Master'!$A$2:$A$23, 'Product Master'!$C$2:$C$23)</f>
        <v>Fashion</v>
      </c>
      <c r="P100" t="str">
        <f t="shared" si="3"/>
        <v>NA</v>
      </c>
      <c r="Q100" t="str">
        <f>IFERROR(_xlfn.XLOOKUP(B100,'Customer Master'!$A$1:$A$50,'Customer Master'!$B$1:$B$50),"Not Found")</f>
        <v>Lily Simmons</v>
      </c>
      <c r="R100" t="str" cm="1">
        <f t="array" ref="R100">_xlfn.IFS(P100="NA", "NA", P100&lt;=2, "Fast", P100&gt;2, "Slow")</f>
        <v>NA</v>
      </c>
      <c r="S100" t="str">
        <f>_xlfn.XLOOKUP(C100, 'Product Master'!$A$1:$A$23, 'Product Master'!$B$1:$B$23, "Not Found")</f>
        <v>Formal Shirt</v>
      </c>
    </row>
    <row r="101" spans="1:19" x14ac:dyDescent="0.3">
      <c r="A101" s="18" t="s">
        <v>195</v>
      </c>
      <c r="B101" s="1" t="s">
        <v>64</v>
      </c>
      <c r="C101" s="1" t="s">
        <v>44</v>
      </c>
      <c r="D101" s="1" t="s">
        <v>33</v>
      </c>
      <c r="E101" s="1">
        <v>42</v>
      </c>
      <c r="F101" s="1">
        <v>4</v>
      </c>
      <c r="G101" s="1">
        <v>168</v>
      </c>
      <c r="H101" s="1" t="s">
        <v>31</v>
      </c>
      <c r="I101" s="1" t="s">
        <v>22</v>
      </c>
      <c r="J101" s="1" t="s">
        <v>15</v>
      </c>
      <c r="K101" s="2">
        <v>45012</v>
      </c>
      <c r="L101" s="2"/>
      <c r="M101" s="2"/>
      <c r="N101" t="str">
        <f t="shared" si="2"/>
        <v>No</v>
      </c>
      <c r="O101" t="str">
        <f>_xlfn.XLOOKUP(C101, 'Product Master'!$A$2:$A$23, 'Product Master'!$C$2:$C$23)</f>
        <v>Toys</v>
      </c>
      <c r="P101" t="str">
        <f t="shared" si="3"/>
        <v>NA</v>
      </c>
      <c r="Q101" t="str">
        <f>IFERROR(_xlfn.XLOOKUP(B101,'Customer Master'!$A$1:$A$50,'Customer Master'!$B$1:$B$50),"Not Found")</f>
        <v>Jackson Allen</v>
      </c>
      <c r="R101" t="str" cm="1">
        <f t="array" ref="R101">_xlfn.IFS(P101="NA", "NA", P101&lt;=2, "Fast", P101&gt;2, "Slow")</f>
        <v>NA</v>
      </c>
      <c r="S101" t="str">
        <f>_xlfn.XLOOKUP(C101, 'Product Master'!$A$1:$A$23, 'Product Master'!$B$1:$B$23, "Not Found")</f>
        <v>Action Figure</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F8BD3-C2BD-488D-B896-0D603690AA21}">
  <dimension ref="A1:E23"/>
  <sheetViews>
    <sheetView workbookViewId="0">
      <selection activeCell="H14" sqref="H14"/>
    </sheetView>
  </sheetViews>
  <sheetFormatPr defaultRowHeight="14.4" x14ac:dyDescent="0.3"/>
  <cols>
    <col min="1" max="1" width="9.88671875" bestFit="1" customWidth="1"/>
    <col min="2" max="2" width="16.109375" bestFit="1" customWidth="1"/>
    <col min="3" max="3" width="9.88671875" bestFit="1" customWidth="1"/>
    <col min="4" max="4" width="9.21875" bestFit="1" customWidth="1"/>
    <col min="5" max="5" width="46.6640625" bestFit="1" customWidth="1"/>
  </cols>
  <sheetData>
    <row r="1" spans="1:5" x14ac:dyDescent="0.3">
      <c r="A1" s="3" t="s">
        <v>0</v>
      </c>
      <c r="B1" s="3" t="s">
        <v>53</v>
      </c>
      <c r="C1" s="3" t="s">
        <v>196</v>
      </c>
      <c r="D1" s="4" t="s">
        <v>197</v>
      </c>
      <c r="E1" s="3" t="s">
        <v>198</v>
      </c>
    </row>
    <row r="2" spans="1:5" x14ac:dyDescent="0.3">
      <c r="A2" s="5" t="s">
        <v>43</v>
      </c>
      <c r="B2" s="5" t="s">
        <v>199</v>
      </c>
      <c r="C2" s="5" t="s">
        <v>200</v>
      </c>
      <c r="D2" s="6">
        <v>749</v>
      </c>
      <c r="E2" s="5" t="s">
        <v>201</v>
      </c>
    </row>
    <row r="3" spans="1:5" x14ac:dyDescent="0.3">
      <c r="A3" s="5" t="s">
        <v>44</v>
      </c>
      <c r="B3" s="5" t="s">
        <v>202</v>
      </c>
      <c r="C3" s="5" t="s">
        <v>203</v>
      </c>
      <c r="D3" s="6">
        <v>39</v>
      </c>
      <c r="E3" s="5" t="s">
        <v>204</v>
      </c>
    </row>
    <row r="4" spans="1:5" x14ac:dyDescent="0.3">
      <c r="A4" s="5" t="s">
        <v>35</v>
      </c>
      <c r="B4" s="5" t="s">
        <v>205</v>
      </c>
      <c r="C4" s="5" t="s">
        <v>206</v>
      </c>
      <c r="D4" s="6">
        <v>129</v>
      </c>
      <c r="E4" s="5" t="s">
        <v>207</v>
      </c>
    </row>
    <row r="5" spans="1:5" x14ac:dyDescent="0.3">
      <c r="A5" s="5" t="s">
        <v>50</v>
      </c>
      <c r="B5" s="5" t="s">
        <v>208</v>
      </c>
      <c r="C5" s="5" t="s">
        <v>203</v>
      </c>
      <c r="D5" s="6">
        <v>59</v>
      </c>
      <c r="E5" s="5" t="s">
        <v>209</v>
      </c>
    </row>
    <row r="6" spans="1:5" x14ac:dyDescent="0.3">
      <c r="A6" s="5" t="s">
        <v>40</v>
      </c>
      <c r="B6" s="5" t="s">
        <v>210</v>
      </c>
      <c r="C6" s="5" t="s">
        <v>211</v>
      </c>
      <c r="D6" s="6">
        <v>25</v>
      </c>
      <c r="E6" s="5" t="s">
        <v>212</v>
      </c>
    </row>
    <row r="7" spans="1:5" x14ac:dyDescent="0.3">
      <c r="A7" s="5" t="s">
        <v>38</v>
      </c>
      <c r="B7" s="5" t="s">
        <v>213</v>
      </c>
      <c r="C7" s="5" t="s">
        <v>211</v>
      </c>
      <c r="D7" s="6">
        <v>89</v>
      </c>
      <c r="E7" s="5" t="s">
        <v>214</v>
      </c>
    </row>
    <row r="8" spans="1:5" x14ac:dyDescent="0.3">
      <c r="A8" s="5" t="s">
        <v>49</v>
      </c>
      <c r="B8" s="5" t="s">
        <v>215</v>
      </c>
      <c r="C8" s="5" t="s">
        <v>203</v>
      </c>
      <c r="D8" s="6">
        <v>29</v>
      </c>
      <c r="E8" s="5" t="s">
        <v>216</v>
      </c>
    </row>
    <row r="9" spans="1:5" x14ac:dyDescent="0.3">
      <c r="A9" s="5" t="s">
        <v>42</v>
      </c>
      <c r="B9" s="5" t="s">
        <v>217</v>
      </c>
      <c r="C9" s="5" t="s">
        <v>218</v>
      </c>
      <c r="D9" s="6">
        <v>65</v>
      </c>
      <c r="E9" s="5" t="s">
        <v>219</v>
      </c>
    </row>
    <row r="10" spans="1:5" x14ac:dyDescent="0.3">
      <c r="A10" s="5" t="s">
        <v>46</v>
      </c>
      <c r="B10" s="5" t="s">
        <v>220</v>
      </c>
      <c r="C10" s="5" t="s">
        <v>218</v>
      </c>
      <c r="D10" s="6">
        <v>10</v>
      </c>
      <c r="E10" s="5" t="s">
        <v>221</v>
      </c>
    </row>
    <row r="11" spans="1:5" x14ac:dyDescent="0.3">
      <c r="A11" s="5" t="s">
        <v>26</v>
      </c>
      <c r="B11" s="5" t="s">
        <v>222</v>
      </c>
      <c r="C11" s="5" t="s">
        <v>211</v>
      </c>
      <c r="D11" s="6">
        <v>55</v>
      </c>
      <c r="E11" s="5" t="s">
        <v>223</v>
      </c>
    </row>
    <row r="12" spans="1:5" x14ac:dyDescent="0.3">
      <c r="A12" s="5" t="s">
        <v>47</v>
      </c>
      <c r="B12" s="5" t="s">
        <v>224</v>
      </c>
      <c r="C12" s="5" t="s">
        <v>200</v>
      </c>
      <c r="D12" s="6">
        <v>159</v>
      </c>
      <c r="E12" s="5" t="s">
        <v>225</v>
      </c>
    </row>
    <row r="13" spans="1:5" x14ac:dyDescent="0.3">
      <c r="A13" s="5" t="s">
        <v>11</v>
      </c>
      <c r="B13" s="5" t="s">
        <v>226</v>
      </c>
      <c r="C13" s="5" t="s">
        <v>206</v>
      </c>
      <c r="D13" s="6">
        <v>42</v>
      </c>
      <c r="E13" s="5" t="s">
        <v>227</v>
      </c>
    </row>
    <row r="14" spans="1:5" x14ac:dyDescent="0.3">
      <c r="A14" s="5" t="s">
        <v>20</v>
      </c>
      <c r="B14" s="5" t="s">
        <v>228</v>
      </c>
      <c r="C14" s="5" t="s">
        <v>206</v>
      </c>
      <c r="D14" s="6">
        <v>185</v>
      </c>
      <c r="E14" s="5" t="s">
        <v>229</v>
      </c>
    </row>
    <row r="15" spans="1:5" x14ac:dyDescent="0.3">
      <c r="A15" s="5" t="s">
        <v>36</v>
      </c>
      <c r="B15" s="5" t="s">
        <v>230</v>
      </c>
      <c r="C15" s="5" t="s">
        <v>200</v>
      </c>
      <c r="D15" s="6">
        <v>229</v>
      </c>
      <c r="E15" s="5" t="s">
        <v>231</v>
      </c>
    </row>
    <row r="16" spans="1:5" x14ac:dyDescent="0.3">
      <c r="A16" s="5" t="s">
        <v>41</v>
      </c>
      <c r="B16" s="5" t="s">
        <v>232</v>
      </c>
      <c r="C16" s="5" t="s">
        <v>218</v>
      </c>
      <c r="D16" s="6">
        <v>20</v>
      </c>
      <c r="E16" s="5" t="s">
        <v>233</v>
      </c>
    </row>
    <row r="17" spans="1:5" x14ac:dyDescent="0.3">
      <c r="A17" s="5" t="s">
        <v>48</v>
      </c>
      <c r="B17" s="5" t="s">
        <v>234</v>
      </c>
      <c r="C17" s="5" t="s">
        <v>206</v>
      </c>
      <c r="D17" s="6">
        <v>199</v>
      </c>
      <c r="E17" s="5" t="s">
        <v>235</v>
      </c>
    </row>
    <row r="18" spans="1:5" x14ac:dyDescent="0.3">
      <c r="A18" s="5" t="s">
        <v>39</v>
      </c>
      <c r="B18" s="5" t="s">
        <v>236</v>
      </c>
      <c r="C18" s="5" t="s">
        <v>200</v>
      </c>
      <c r="D18" s="6">
        <v>69</v>
      </c>
      <c r="E18" s="5" t="s">
        <v>237</v>
      </c>
    </row>
    <row r="19" spans="1:5" x14ac:dyDescent="0.3">
      <c r="A19" s="5" t="s">
        <v>16</v>
      </c>
      <c r="B19" s="5" t="s">
        <v>238</v>
      </c>
      <c r="C19" s="5" t="s">
        <v>203</v>
      </c>
      <c r="D19" s="6">
        <v>89</v>
      </c>
      <c r="E19" s="5" t="s">
        <v>239</v>
      </c>
    </row>
    <row r="20" spans="1:5" x14ac:dyDescent="0.3">
      <c r="A20" s="5" t="s">
        <v>34</v>
      </c>
      <c r="B20" s="5" t="s">
        <v>240</v>
      </c>
      <c r="C20" s="5" t="s">
        <v>211</v>
      </c>
      <c r="D20" s="6">
        <v>40</v>
      </c>
      <c r="E20" s="5" t="s">
        <v>241</v>
      </c>
    </row>
    <row r="21" spans="1:5" x14ac:dyDescent="0.3">
      <c r="A21" s="5" t="s">
        <v>29</v>
      </c>
      <c r="B21" s="5" t="s">
        <v>242</v>
      </c>
      <c r="C21" s="5" t="s">
        <v>200</v>
      </c>
      <c r="D21" s="6">
        <v>99</v>
      </c>
      <c r="E21" s="5" t="s">
        <v>243</v>
      </c>
    </row>
    <row r="22" spans="1:5" x14ac:dyDescent="0.3">
      <c r="A22" s="5" t="s">
        <v>32</v>
      </c>
      <c r="B22" s="5" t="s">
        <v>244</v>
      </c>
      <c r="C22" s="5" t="s">
        <v>206</v>
      </c>
      <c r="D22" s="6">
        <v>34</v>
      </c>
      <c r="E22" s="5" t="s">
        <v>245</v>
      </c>
    </row>
    <row r="23" spans="1:5" x14ac:dyDescent="0.3">
      <c r="A23" s="5" t="s">
        <v>45</v>
      </c>
      <c r="B23" s="5" t="s">
        <v>246</v>
      </c>
      <c r="C23" s="5" t="s">
        <v>211</v>
      </c>
      <c r="D23" s="6">
        <v>60</v>
      </c>
      <c r="E23" s="5" t="s">
        <v>247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FD3A4-D577-4BA3-8B29-52E93DB898F3}">
  <dimension ref="A1:B6"/>
  <sheetViews>
    <sheetView workbookViewId="0">
      <selection activeCell="H11" sqref="H11"/>
    </sheetView>
  </sheetViews>
  <sheetFormatPr defaultRowHeight="14.4" x14ac:dyDescent="0.3"/>
  <cols>
    <col min="1" max="1" width="6.88671875" bestFit="1" customWidth="1"/>
    <col min="2" max="2" width="11" bestFit="1" customWidth="1"/>
  </cols>
  <sheetData>
    <row r="1" spans="1:2" x14ac:dyDescent="0.3">
      <c r="A1" s="3" t="s">
        <v>1</v>
      </c>
      <c r="B1" s="3" t="s">
        <v>248</v>
      </c>
    </row>
    <row r="2" spans="1:2" x14ac:dyDescent="0.3">
      <c r="A2" s="5" t="s">
        <v>30</v>
      </c>
      <c r="B2" s="7">
        <v>97500</v>
      </c>
    </row>
    <row r="3" spans="1:2" x14ac:dyDescent="0.3">
      <c r="A3" s="5" t="s">
        <v>17</v>
      </c>
      <c r="B3" s="7">
        <v>50500</v>
      </c>
    </row>
    <row r="4" spans="1:2" x14ac:dyDescent="0.3">
      <c r="A4" s="5" t="s">
        <v>12</v>
      </c>
      <c r="B4" s="7">
        <v>105000</v>
      </c>
    </row>
    <row r="5" spans="1:2" x14ac:dyDescent="0.3">
      <c r="A5" s="5" t="s">
        <v>21</v>
      </c>
      <c r="B5" s="7">
        <v>91500</v>
      </c>
    </row>
    <row r="6" spans="1:2" x14ac:dyDescent="0.3">
      <c r="A6" s="5" t="s">
        <v>33</v>
      </c>
      <c r="B6" s="7">
        <v>90750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391A0-A933-4404-91A8-49CC6EA368BA}">
  <dimension ref="A1:E50"/>
  <sheetViews>
    <sheetView topLeftCell="A24" workbookViewId="0">
      <selection activeCell="I12" sqref="I12"/>
    </sheetView>
  </sheetViews>
  <sheetFormatPr defaultRowHeight="14.4" x14ac:dyDescent="0.3"/>
  <cols>
    <col min="1" max="1" width="11.33203125" bestFit="1" customWidth="1"/>
    <col min="2" max="2" width="14.6640625" bestFit="1" customWidth="1"/>
    <col min="3" max="3" width="13.77734375" bestFit="1" customWidth="1"/>
    <col min="4" max="4" width="12" bestFit="1" customWidth="1"/>
    <col min="5" max="5" width="10.6640625" bestFit="1" customWidth="1"/>
  </cols>
  <sheetData>
    <row r="1" spans="1:5" x14ac:dyDescent="0.3">
      <c r="A1" s="3" t="s">
        <v>52</v>
      </c>
      <c r="B1" s="3" t="s">
        <v>249</v>
      </c>
      <c r="C1" s="3" t="s">
        <v>250</v>
      </c>
      <c r="D1" s="3" t="s">
        <v>251</v>
      </c>
      <c r="E1" s="3" t="s">
        <v>252</v>
      </c>
    </row>
    <row r="2" spans="1:5" x14ac:dyDescent="0.3">
      <c r="A2" s="5" t="s">
        <v>122</v>
      </c>
      <c r="B2" s="5" t="s">
        <v>253</v>
      </c>
      <c r="C2" s="5" t="s">
        <v>254</v>
      </c>
      <c r="D2" s="5" t="s">
        <v>255</v>
      </c>
      <c r="E2" s="5" t="s">
        <v>255</v>
      </c>
    </row>
    <row r="3" spans="1:5" x14ac:dyDescent="0.3">
      <c r="A3" s="5" t="s">
        <v>256</v>
      </c>
      <c r="B3" s="5" t="s">
        <v>257</v>
      </c>
      <c r="C3" s="5" t="s">
        <v>258</v>
      </c>
      <c r="D3" s="5" t="s">
        <v>259</v>
      </c>
      <c r="E3" s="5" t="s">
        <v>260</v>
      </c>
    </row>
    <row r="4" spans="1:5" x14ac:dyDescent="0.3">
      <c r="A4" s="5" t="s">
        <v>144</v>
      </c>
      <c r="B4" s="5" t="s">
        <v>261</v>
      </c>
      <c r="C4" s="5" t="s">
        <v>258</v>
      </c>
      <c r="D4" s="5" t="s">
        <v>262</v>
      </c>
      <c r="E4" s="5" t="s">
        <v>263</v>
      </c>
    </row>
    <row r="5" spans="1:5" x14ac:dyDescent="0.3">
      <c r="A5" s="5" t="s">
        <v>151</v>
      </c>
      <c r="B5" s="5" t="s">
        <v>264</v>
      </c>
      <c r="C5" s="5" t="s">
        <v>258</v>
      </c>
      <c r="D5" s="5" t="s">
        <v>265</v>
      </c>
      <c r="E5" s="5" t="s">
        <v>266</v>
      </c>
    </row>
    <row r="6" spans="1:5" x14ac:dyDescent="0.3">
      <c r="A6" s="5" t="s">
        <v>267</v>
      </c>
      <c r="B6" s="5" t="s">
        <v>268</v>
      </c>
      <c r="C6" s="5" t="s">
        <v>258</v>
      </c>
      <c r="D6" s="5" t="s">
        <v>259</v>
      </c>
      <c r="E6" s="5" t="s">
        <v>260</v>
      </c>
    </row>
    <row r="7" spans="1:5" x14ac:dyDescent="0.3">
      <c r="A7" s="5" t="s">
        <v>120</v>
      </c>
      <c r="B7" s="5" t="s">
        <v>269</v>
      </c>
      <c r="C7" s="5" t="s">
        <v>258</v>
      </c>
      <c r="D7" s="5" t="s">
        <v>270</v>
      </c>
      <c r="E7" s="5" t="s">
        <v>271</v>
      </c>
    </row>
    <row r="8" spans="1:5" x14ac:dyDescent="0.3">
      <c r="A8" s="5" t="s">
        <v>103</v>
      </c>
      <c r="B8" s="5" t="s">
        <v>272</v>
      </c>
      <c r="C8" s="5" t="s">
        <v>258</v>
      </c>
      <c r="D8" s="5" t="s">
        <v>265</v>
      </c>
      <c r="E8" s="5" t="s">
        <v>266</v>
      </c>
    </row>
    <row r="9" spans="1:5" x14ac:dyDescent="0.3">
      <c r="A9" s="5" t="s">
        <v>105</v>
      </c>
      <c r="B9" s="5" t="s">
        <v>273</v>
      </c>
      <c r="C9" s="5" t="s">
        <v>254</v>
      </c>
      <c r="D9" s="5" t="s">
        <v>274</v>
      </c>
      <c r="E9" s="5" t="s">
        <v>263</v>
      </c>
    </row>
    <row r="10" spans="1:5" x14ac:dyDescent="0.3">
      <c r="A10" s="5" t="s">
        <v>64</v>
      </c>
      <c r="B10" s="5" t="s">
        <v>275</v>
      </c>
      <c r="C10" s="5" t="s">
        <v>254</v>
      </c>
      <c r="D10" s="5" t="s">
        <v>259</v>
      </c>
      <c r="E10" s="5" t="s">
        <v>260</v>
      </c>
    </row>
    <row r="11" spans="1:5" x14ac:dyDescent="0.3">
      <c r="A11" s="5" t="s">
        <v>276</v>
      </c>
      <c r="B11" s="5" t="s">
        <v>277</v>
      </c>
      <c r="C11" s="5" t="s">
        <v>258</v>
      </c>
      <c r="D11" s="5" t="s">
        <v>270</v>
      </c>
      <c r="E11" s="5" t="s">
        <v>271</v>
      </c>
    </row>
    <row r="12" spans="1:5" x14ac:dyDescent="0.3">
      <c r="A12" s="5" t="s">
        <v>85</v>
      </c>
      <c r="B12" s="5" t="s">
        <v>278</v>
      </c>
      <c r="C12" s="5" t="s">
        <v>254</v>
      </c>
      <c r="D12" s="5" t="s">
        <v>279</v>
      </c>
      <c r="E12" s="5" t="s">
        <v>280</v>
      </c>
    </row>
    <row r="13" spans="1:5" x14ac:dyDescent="0.3">
      <c r="A13" s="5" t="s">
        <v>281</v>
      </c>
      <c r="B13" s="5" t="s">
        <v>253</v>
      </c>
      <c r="C13" s="5" t="s">
        <v>282</v>
      </c>
      <c r="D13" s="5" t="s">
        <v>283</v>
      </c>
      <c r="E13" s="5" t="s">
        <v>284</v>
      </c>
    </row>
    <row r="14" spans="1:5" x14ac:dyDescent="0.3">
      <c r="A14" s="5" t="s">
        <v>70</v>
      </c>
      <c r="B14" s="5" t="s">
        <v>268</v>
      </c>
      <c r="C14" s="5" t="s">
        <v>258</v>
      </c>
      <c r="D14" s="5" t="s">
        <v>259</v>
      </c>
      <c r="E14" s="5" t="s">
        <v>260</v>
      </c>
    </row>
    <row r="15" spans="1:5" x14ac:dyDescent="0.3">
      <c r="A15" s="5" t="s">
        <v>107</v>
      </c>
      <c r="B15" s="5" t="s">
        <v>273</v>
      </c>
      <c r="C15" s="5" t="s">
        <v>282</v>
      </c>
      <c r="D15" s="5" t="s">
        <v>270</v>
      </c>
      <c r="E15" s="5" t="s">
        <v>271</v>
      </c>
    </row>
    <row r="16" spans="1:5" x14ac:dyDescent="0.3">
      <c r="A16" s="5" t="s">
        <v>175</v>
      </c>
      <c r="B16" s="5" t="s">
        <v>285</v>
      </c>
      <c r="C16" s="5" t="s">
        <v>282</v>
      </c>
      <c r="D16" s="5" t="s">
        <v>283</v>
      </c>
      <c r="E16" s="5" t="s">
        <v>284</v>
      </c>
    </row>
    <row r="17" spans="1:5" x14ac:dyDescent="0.3">
      <c r="A17" s="5" t="s">
        <v>93</v>
      </c>
      <c r="B17" s="5" t="s">
        <v>286</v>
      </c>
      <c r="C17" s="5" t="s">
        <v>258</v>
      </c>
      <c r="D17" s="5" t="s">
        <v>283</v>
      </c>
      <c r="E17" s="5" t="s">
        <v>284</v>
      </c>
    </row>
    <row r="18" spans="1:5" x14ac:dyDescent="0.3">
      <c r="A18" s="5" t="s">
        <v>140</v>
      </c>
      <c r="B18" s="5" t="s">
        <v>287</v>
      </c>
      <c r="C18" s="5" t="s">
        <v>254</v>
      </c>
      <c r="D18" s="5" t="s">
        <v>262</v>
      </c>
      <c r="E18" s="5" t="s">
        <v>263</v>
      </c>
    </row>
    <row r="19" spans="1:5" x14ac:dyDescent="0.3">
      <c r="A19" s="5" t="s">
        <v>100</v>
      </c>
      <c r="B19" s="5" t="s">
        <v>288</v>
      </c>
      <c r="C19" s="5" t="s">
        <v>282</v>
      </c>
      <c r="D19" s="5" t="s">
        <v>279</v>
      </c>
      <c r="E19" s="5" t="s">
        <v>280</v>
      </c>
    </row>
    <row r="20" spans="1:5" x14ac:dyDescent="0.3">
      <c r="A20" s="5" t="s">
        <v>68</v>
      </c>
      <c r="B20" s="5" t="s">
        <v>269</v>
      </c>
      <c r="C20" s="5" t="s">
        <v>258</v>
      </c>
      <c r="D20" s="5" t="s">
        <v>259</v>
      </c>
      <c r="E20" s="5" t="s">
        <v>260</v>
      </c>
    </row>
    <row r="21" spans="1:5" x14ac:dyDescent="0.3">
      <c r="A21" s="5" t="s">
        <v>289</v>
      </c>
      <c r="B21" s="5" t="s">
        <v>290</v>
      </c>
      <c r="C21" s="5" t="s">
        <v>282</v>
      </c>
      <c r="D21" s="5" t="s">
        <v>270</v>
      </c>
      <c r="E21" s="5" t="s">
        <v>271</v>
      </c>
    </row>
    <row r="22" spans="1:5" x14ac:dyDescent="0.3">
      <c r="A22" s="5" t="s">
        <v>55</v>
      </c>
      <c r="B22" s="5" t="s">
        <v>291</v>
      </c>
      <c r="C22" s="5" t="s">
        <v>282</v>
      </c>
      <c r="D22" s="5" t="s">
        <v>262</v>
      </c>
      <c r="E22" s="5" t="s">
        <v>263</v>
      </c>
    </row>
    <row r="23" spans="1:5" x14ac:dyDescent="0.3">
      <c r="A23" s="5" t="s">
        <v>149</v>
      </c>
      <c r="B23" s="5" t="s">
        <v>286</v>
      </c>
      <c r="C23" s="5" t="s">
        <v>282</v>
      </c>
      <c r="D23" s="5" t="s">
        <v>279</v>
      </c>
      <c r="E23" s="5" t="s">
        <v>280</v>
      </c>
    </row>
    <row r="24" spans="1:5" x14ac:dyDescent="0.3">
      <c r="A24" s="5" t="s">
        <v>77</v>
      </c>
      <c r="B24" s="5" t="s">
        <v>292</v>
      </c>
      <c r="C24" s="5" t="s">
        <v>282</v>
      </c>
      <c r="D24" s="5" t="s">
        <v>262</v>
      </c>
      <c r="E24" s="5" t="s">
        <v>263</v>
      </c>
    </row>
    <row r="25" spans="1:5" x14ac:dyDescent="0.3">
      <c r="A25" s="5" t="s">
        <v>118</v>
      </c>
      <c r="B25" s="5" t="s">
        <v>293</v>
      </c>
      <c r="C25" s="5" t="s">
        <v>254</v>
      </c>
      <c r="D25" s="5" t="s">
        <v>279</v>
      </c>
      <c r="E25" s="5" t="s">
        <v>280</v>
      </c>
    </row>
    <row r="26" spans="1:5" x14ac:dyDescent="0.3">
      <c r="A26" s="5" t="s">
        <v>89</v>
      </c>
      <c r="B26" s="5" t="s">
        <v>287</v>
      </c>
      <c r="C26" s="5" t="s">
        <v>282</v>
      </c>
      <c r="D26" s="5" t="s">
        <v>279</v>
      </c>
      <c r="E26" s="5" t="s">
        <v>280</v>
      </c>
    </row>
    <row r="27" spans="1:5" x14ac:dyDescent="0.3">
      <c r="A27" s="5" t="s">
        <v>132</v>
      </c>
      <c r="B27" s="5" t="s">
        <v>291</v>
      </c>
      <c r="C27" s="5" t="s">
        <v>282</v>
      </c>
      <c r="D27" s="5" t="s">
        <v>259</v>
      </c>
      <c r="E27" s="5" t="s">
        <v>260</v>
      </c>
    </row>
    <row r="28" spans="1:5" x14ac:dyDescent="0.3">
      <c r="A28" s="5" t="s">
        <v>62</v>
      </c>
      <c r="B28" s="5" t="s">
        <v>294</v>
      </c>
      <c r="C28" s="5" t="s">
        <v>282</v>
      </c>
      <c r="D28" s="5" t="s">
        <v>259</v>
      </c>
      <c r="E28" s="5" t="s">
        <v>260</v>
      </c>
    </row>
    <row r="29" spans="1:5" x14ac:dyDescent="0.3">
      <c r="A29" s="5" t="s">
        <v>95</v>
      </c>
      <c r="B29" s="5" t="s">
        <v>295</v>
      </c>
      <c r="C29" s="5" t="s">
        <v>254</v>
      </c>
      <c r="D29" s="5" t="s">
        <v>262</v>
      </c>
      <c r="E29" s="5" t="s">
        <v>263</v>
      </c>
    </row>
    <row r="30" spans="1:5" x14ac:dyDescent="0.3">
      <c r="A30" s="5" t="s">
        <v>57</v>
      </c>
      <c r="B30" s="5" t="s">
        <v>285</v>
      </c>
      <c r="C30" s="5" t="s">
        <v>282</v>
      </c>
      <c r="D30" s="5" t="s">
        <v>279</v>
      </c>
      <c r="E30" s="5" t="s">
        <v>280</v>
      </c>
    </row>
    <row r="31" spans="1:5" x14ac:dyDescent="0.3">
      <c r="A31" s="5" t="s">
        <v>296</v>
      </c>
      <c r="B31" s="5" t="s">
        <v>287</v>
      </c>
      <c r="C31" s="5" t="s">
        <v>282</v>
      </c>
      <c r="D31" s="5" t="s">
        <v>259</v>
      </c>
      <c r="E31" s="5" t="s">
        <v>260</v>
      </c>
    </row>
    <row r="32" spans="1:5" x14ac:dyDescent="0.3">
      <c r="A32" s="5" t="s">
        <v>184</v>
      </c>
      <c r="B32" s="5" t="s">
        <v>297</v>
      </c>
      <c r="C32" s="5" t="s">
        <v>254</v>
      </c>
      <c r="D32" s="5" t="s">
        <v>259</v>
      </c>
      <c r="E32" s="5" t="s">
        <v>260</v>
      </c>
    </row>
    <row r="33" spans="1:5" x14ac:dyDescent="0.3">
      <c r="A33" s="5" t="s">
        <v>113</v>
      </c>
      <c r="B33" s="5" t="s">
        <v>298</v>
      </c>
      <c r="C33" s="5" t="s">
        <v>254</v>
      </c>
      <c r="D33" s="5" t="s">
        <v>262</v>
      </c>
      <c r="E33" s="5" t="s">
        <v>263</v>
      </c>
    </row>
    <row r="34" spans="1:5" x14ac:dyDescent="0.3">
      <c r="A34" s="5" t="s">
        <v>79</v>
      </c>
      <c r="B34" s="5" t="s">
        <v>299</v>
      </c>
      <c r="C34" s="5" t="s">
        <v>254</v>
      </c>
      <c r="D34" s="5" t="s">
        <v>283</v>
      </c>
      <c r="E34" s="5" t="s">
        <v>284</v>
      </c>
    </row>
    <row r="35" spans="1:5" x14ac:dyDescent="0.3">
      <c r="A35" s="5" t="s">
        <v>194</v>
      </c>
      <c r="B35" s="5" t="s">
        <v>300</v>
      </c>
      <c r="C35" s="5" t="s">
        <v>282</v>
      </c>
      <c r="D35" s="5" t="s">
        <v>283</v>
      </c>
      <c r="E35" s="5" t="s">
        <v>284</v>
      </c>
    </row>
    <row r="36" spans="1:5" x14ac:dyDescent="0.3">
      <c r="A36" s="5" t="s">
        <v>147</v>
      </c>
      <c r="B36" s="5" t="s">
        <v>301</v>
      </c>
      <c r="C36" s="5" t="s">
        <v>254</v>
      </c>
      <c r="D36" s="5" t="s">
        <v>279</v>
      </c>
      <c r="E36" s="5" t="s">
        <v>280</v>
      </c>
    </row>
    <row r="37" spans="1:5" x14ac:dyDescent="0.3">
      <c r="A37" s="5" t="s">
        <v>187</v>
      </c>
      <c r="B37" s="5" t="s">
        <v>261</v>
      </c>
      <c r="C37" s="5" t="s">
        <v>254</v>
      </c>
      <c r="D37" s="5" t="s">
        <v>270</v>
      </c>
      <c r="E37" s="5" t="s">
        <v>271</v>
      </c>
    </row>
    <row r="38" spans="1:5" x14ac:dyDescent="0.3">
      <c r="A38" s="5" t="s">
        <v>109</v>
      </c>
      <c r="B38" s="5" t="s">
        <v>257</v>
      </c>
      <c r="C38" s="5" t="s">
        <v>282</v>
      </c>
      <c r="D38" s="5" t="s">
        <v>279</v>
      </c>
      <c r="E38" s="5" t="s">
        <v>280</v>
      </c>
    </row>
    <row r="39" spans="1:5" x14ac:dyDescent="0.3">
      <c r="A39" s="5" t="s">
        <v>302</v>
      </c>
      <c r="B39" s="5" t="s">
        <v>303</v>
      </c>
      <c r="C39" s="5" t="s">
        <v>254</v>
      </c>
      <c r="D39" s="5" t="s">
        <v>262</v>
      </c>
      <c r="E39" s="5" t="s">
        <v>263</v>
      </c>
    </row>
    <row r="40" spans="1:5" x14ac:dyDescent="0.3">
      <c r="A40" s="5" t="s">
        <v>128</v>
      </c>
      <c r="B40" s="5" t="s">
        <v>304</v>
      </c>
      <c r="C40" s="5" t="s">
        <v>282</v>
      </c>
      <c r="D40" s="5" t="s">
        <v>262</v>
      </c>
      <c r="E40" s="5" t="s">
        <v>263</v>
      </c>
    </row>
    <row r="41" spans="1:5" x14ac:dyDescent="0.3">
      <c r="A41" s="5" t="s">
        <v>97</v>
      </c>
      <c r="B41" s="5" t="s">
        <v>305</v>
      </c>
      <c r="C41" s="5" t="s">
        <v>258</v>
      </c>
      <c r="D41" s="5" t="s">
        <v>262</v>
      </c>
      <c r="E41" s="5" t="s">
        <v>263</v>
      </c>
    </row>
    <row r="42" spans="1:5" x14ac:dyDescent="0.3">
      <c r="A42" s="5" t="s">
        <v>87</v>
      </c>
      <c r="B42" s="5" t="s">
        <v>306</v>
      </c>
      <c r="C42" s="5" t="s">
        <v>254</v>
      </c>
      <c r="D42" s="5" t="s">
        <v>262</v>
      </c>
      <c r="E42" s="5" t="s">
        <v>263</v>
      </c>
    </row>
    <row r="43" spans="1:5" x14ac:dyDescent="0.3">
      <c r="A43" s="5" t="s">
        <v>66</v>
      </c>
      <c r="B43" s="5" t="s">
        <v>264</v>
      </c>
      <c r="C43" s="5" t="s">
        <v>258</v>
      </c>
      <c r="D43" s="5" t="s">
        <v>262</v>
      </c>
      <c r="E43" s="5" t="s">
        <v>263</v>
      </c>
    </row>
    <row r="44" spans="1:5" x14ac:dyDescent="0.3">
      <c r="A44" s="5" t="s">
        <v>179</v>
      </c>
      <c r="B44" s="5" t="s">
        <v>307</v>
      </c>
      <c r="C44" s="5" t="s">
        <v>282</v>
      </c>
      <c r="D44" s="5" t="s">
        <v>259</v>
      </c>
      <c r="E44" s="5" t="s">
        <v>260</v>
      </c>
    </row>
    <row r="45" spans="1:5" x14ac:dyDescent="0.3">
      <c r="A45" s="5" t="s">
        <v>60</v>
      </c>
      <c r="B45" s="5" t="s">
        <v>308</v>
      </c>
      <c r="C45" s="5" t="s">
        <v>254</v>
      </c>
      <c r="D45" s="5" t="s">
        <v>283</v>
      </c>
      <c r="E45" s="5" t="s">
        <v>284</v>
      </c>
    </row>
    <row r="46" spans="1:5" x14ac:dyDescent="0.3">
      <c r="A46" s="5" t="s">
        <v>75</v>
      </c>
      <c r="B46" s="5" t="s">
        <v>257</v>
      </c>
      <c r="C46" s="5" t="s">
        <v>282</v>
      </c>
      <c r="D46" s="5" t="s">
        <v>262</v>
      </c>
      <c r="E46" s="5" t="s">
        <v>263</v>
      </c>
    </row>
    <row r="47" spans="1:5" x14ac:dyDescent="0.3">
      <c r="A47" s="5" t="s">
        <v>73</v>
      </c>
      <c r="B47" s="5" t="s">
        <v>257</v>
      </c>
      <c r="C47" s="5" t="s">
        <v>258</v>
      </c>
      <c r="D47" s="5" t="s">
        <v>270</v>
      </c>
      <c r="E47" s="5" t="s">
        <v>271</v>
      </c>
    </row>
    <row r="48" spans="1:5" x14ac:dyDescent="0.3">
      <c r="A48" s="5" t="s">
        <v>82</v>
      </c>
      <c r="B48" s="5" t="s">
        <v>293</v>
      </c>
      <c r="C48" s="5" t="s">
        <v>282</v>
      </c>
      <c r="D48" s="5" t="s">
        <v>270</v>
      </c>
      <c r="E48" s="5" t="s">
        <v>271</v>
      </c>
    </row>
    <row r="49" spans="1:5" x14ac:dyDescent="0.3">
      <c r="A49" s="5" t="s">
        <v>153</v>
      </c>
      <c r="B49" s="5" t="s">
        <v>264</v>
      </c>
      <c r="C49" s="5" t="s">
        <v>254</v>
      </c>
      <c r="D49" s="5" t="s">
        <v>270</v>
      </c>
      <c r="E49" s="5" t="s">
        <v>271</v>
      </c>
    </row>
    <row r="50" spans="1:5" x14ac:dyDescent="0.3">
      <c r="A50" s="5" t="s">
        <v>309</v>
      </c>
      <c r="B50" s="5" t="s">
        <v>310</v>
      </c>
      <c r="C50" s="5" t="s">
        <v>254</v>
      </c>
      <c r="D50" s="5" t="s">
        <v>270</v>
      </c>
      <c r="E50" s="5" t="s">
        <v>271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CFDAB-1CF4-47FA-88CE-C9288A1DE683}">
  <dimension ref="A1:AT34"/>
  <sheetViews>
    <sheetView showGridLines="0" tabSelected="1" zoomScale="81" zoomScaleNormal="81" workbookViewId="0">
      <selection activeCell="Y16" sqref="Y16"/>
    </sheetView>
  </sheetViews>
  <sheetFormatPr defaultRowHeight="14.4" x14ac:dyDescent="0.3"/>
  <cols>
    <col min="29" max="29" width="19.5546875" bestFit="1" customWidth="1"/>
    <col min="30" max="30" width="16.33203125" bestFit="1" customWidth="1"/>
    <col min="33" max="34" width="19.21875" bestFit="1" customWidth="1"/>
    <col min="35" max="35" width="3.5546875" bestFit="1" customWidth="1"/>
    <col min="36" max="36" width="5" bestFit="1" customWidth="1"/>
    <col min="37" max="37" width="10.77734375" bestFit="1" customWidth="1"/>
    <col min="38" max="38" width="13.109375" bestFit="1" customWidth="1"/>
    <col min="39" max="39" width="15.88671875" bestFit="1" customWidth="1"/>
    <col min="45" max="45" width="10.77734375" bestFit="1" customWidth="1"/>
  </cols>
  <sheetData>
    <row r="1" spans="1:46" x14ac:dyDescent="0.3">
      <c r="A1" s="16"/>
      <c r="B1" s="16"/>
      <c r="C1" s="16"/>
      <c r="D1" s="16"/>
      <c r="E1" s="16"/>
      <c r="F1" s="16"/>
      <c r="G1" s="16"/>
      <c r="H1" s="16"/>
      <c r="I1" s="16"/>
      <c r="J1" s="16"/>
      <c r="K1" s="16"/>
      <c r="L1" s="16"/>
      <c r="M1" s="16"/>
      <c r="N1" s="16"/>
      <c r="O1" s="16"/>
      <c r="P1" s="16"/>
      <c r="Q1" s="16"/>
      <c r="R1" s="16"/>
      <c r="S1" s="16"/>
      <c r="T1" s="16"/>
      <c r="U1" s="16"/>
      <c r="V1" s="16"/>
    </row>
    <row r="2" spans="1:46" x14ac:dyDescent="0.3">
      <c r="A2" s="16"/>
      <c r="B2" s="16"/>
      <c r="C2" s="16"/>
      <c r="D2" s="16"/>
      <c r="E2" s="16"/>
      <c r="F2" s="16"/>
      <c r="G2" s="16"/>
      <c r="H2" s="16"/>
      <c r="I2" s="16"/>
      <c r="J2" s="16"/>
      <c r="K2" s="16"/>
      <c r="L2" s="16"/>
      <c r="M2" s="16"/>
      <c r="N2" s="16"/>
      <c r="O2" s="16"/>
      <c r="P2" s="16"/>
      <c r="Q2" s="16"/>
      <c r="R2" s="16"/>
      <c r="S2" s="16"/>
      <c r="T2" s="16"/>
      <c r="U2" s="16"/>
      <c r="V2" s="16"/>
    </row>
    <row r="3" spans="1:46" x14ac:dyDescent="0.3">
      <c r="A3" s="16"/>
      <c r="B3" s="16"/>
      <c r="C3" s="16"/>
      <c r="D3" s="16"/>
      <c r="E3" s="16"/>
      <c r="F3" s="16"/>
      <c r="G3" s="16"/>
      <c r="H3" s="16"/>
      <c r="I3" s="16"/>
      <c r="J3" s="16"/>
      <c r="K3" s="16"/>
      <c r="L3" s="16"/>
      <c r="M3" s="16"/>
      <c r="N3" s="16"/>
      <c r="O3" s="16"/>
      <c r="P3" s="16"/>
      <c r="Q3" s="16"/>
      <c r="R3" s="16"/>
      <c r="S3" s="16"/>
      <c r="T3" s="16"/>
      <c r="U3" s="16"/>
      <c r="V3" s="16"/>
    </row>
    <row r="4" spans="1:46" x14ac:dyDescent="0.3">
      <c r="A4" s="19"/>
      <c r="B4" s="19"/>
      <c r="C4" s="19"/>
      <c r="D4" s="19"/>
      <c r="E4" s="19"/>
      <c r="F4" s="19"/>
      <c r="G4" s="19"/>
      <c r="H4" s="19"/>
      <c r="I4" s="19"/>
      <c r="J4" s="19"/>
      <c r="K4" s="19"/>
      <c r="L4" s="19"/>
      <c r="M4" s="19"/>
      <c r="N4" s="19"/>
      <c r="O4" s="19"/>
      <c r="P4" s="19"/>
      <c r="Q4" s="19"/>
      <c r="R4" s="19"/>
      <c r="S4" s="19"/>
      <c r="T4" s="19"/>
      <c r="U4" s="19"/>
      <c r="V4" s="19"/>
      <c r="AH4" t="s">
        <v>316</v>
      </c>
      <c r="AL4" s="11" t="s">
        <v>313</v>
      </c>
      <c r="AM4" t="s">
        <v>317</v>
      </c>
      <c r="AP4" s="11" t="s">
        <v>315</v>
      </c>
    </row>
    <row r="5" spans="1:46" x14ac:dyDescent="0.3">
      <c r="A5" s="19"/>
      <c r="B5" s="19"/>
      <c r="C5" s="19"/>
      <c r="D5" s="19"/>
      <c r="E5" s="19"/>
      <c r="F5" s="19"/>
      <c r="G5" s="19"/>
      <c r="H5" s="19"/>
      <c r="I5" s="19"/>
      <c r="J5" s="19"/>
      <c r="K5" s="19"/>
      <c r="L5" s="19"/>
      <c r="M5" s="19"/>
      <c r="N5" s="19"/>
      <c r="O5" s="19"/>
      <c r="P5" s="19"/>
      <c r="Q5" s="19"/>
      <c r="R5" s="19"/>
      <c r="S5" s="19"/>
      <c r="T5" s="19"/>
      <c r="U5" s="19"/>
      <c r="V5" s="19"/>
      <c r="AH5" s="20">
        <v>35258</v>
      </c>
      <c r="AL5" s="12" t="s">
        <v>208</v>
      </c>
      <c r="AM5" s="20">
        <v>8</v>
      </c>
      <c r="AP5" t="s">
        <v>323</v>
      </c>
      <c r="AQ5" t="s">
        <v>324</v>
      </c>
      <c r="AR5" t="s">
        <v>325</v>
      </c>
      <c r="AS5" t="s">
        <v>314</v>
      </c>
      <c r="AT5" s="13" t="s">
        <v>326</v>
      </c>
    </row>
    <row r="6" spans="1:46" x14ac:dyDescent="0.3">
      <c r="A6" s="19"/>
      <c r="B6" s="19"/>
      <c r="C6" s="19"/>
      <c r="D6" s="19"/>
      <c r="E6" s="19"/>
      <c r="F6" s="19"/>
      <c r="G6" s="19"/>
      <c r="H6" s="19"/>
      <c r="I6" s="19"/>
      <c r="J6" s="19"/>
      <c r="K6" s="19"/>
      <c r="L6" s="19"/>
      <c r="M6" s="19"/>
      <c r="N6" s="19"/>
      <c r="O6" s="19"/>
      <c r="P6" s="19"/>
      <c r="Q6" s="19"/>
      <c r="R6" s="19"/>
      <c r="S6" s="19"/>
      <c r="T6" s="19"/>
      <c r="U6" s="19"/>
      <c r="V6" s="19"/>
      <c r="AL6" s="12" t="s">
        <v>210</v>
      </c>
      <c r="AM6" s="20">
        <v>8</v>
      </c>
      <c r="AO6" t="s">
        <v>317</v>
      </c>
      <c r="AP6">
        <v>11</v>
      </c>
      <c r="AQ6">
        <v>66</v>
      </c>
      <c r="AR6">
        <v>23</v>
      </c>
      <c r="AS6">
        <v>100</v>
      </c>
      <c r="AT6" s="14">
        <f>AP6/(AP6+AR6)</f>
        <v>0.3235294117647059</v>
      </c>
    </row>
    <row r="7" spans="1:46" x14ac:dyDescent="0.3">
      <c r="A7" s="19"/>
      <c r="B7" s="19"/>
      <c r="C7" s="19"/>
      <c r="D7" s="19"/>
      <c r="E7" s="19"/>
      <c r="F7" s="19"/>
      <c r="G7" s="19"/>
      <c r="H7" s="19"/>
      <c r="I7" s="19"/>
      <c r="J7" s="19"/>
      <c r="K7" s="19"/>
      <c r="L7" s="19"/>
      <c r="M7" s="19"/>
      <c r="N7" s="19"/>
      <c r="O7" s="19"/>
      <c r="P7" s="19"/>
      <c r="Q7" s="19"/>
      <c r="R7" s="19"/>
      <c r="S7" s="19"/>
      <c r="T7" s="19"/>
      <c r="U7" s="19"/>
      <c r="V7" s="19"/>
      <c r="AL7" s="12" t="s">
        <v>314</v>
      </c>
      <c r="AM7" s="20">
        <v>16</v>
      </c>
    </row>
    <row r="8" spans="1:46" x14ac:dyDescent="0.3">
      <c r="A8" s="19"/>
      <c r="B8" s="19"/>
      <c r="C8" s="19"/>
      <c r="D8" s="19"/>
      <c r="E8" s="19"/>
      <c r="F8" s="19"/>
      <c r="G8" s="19"/>
      <c r="H8" s="19"/>
      <c r="I8" s="19"/>
      <c r="J8" s="19"/>
      <c r="K8" s="19"/>
      <c r="L8" s="19"/>
      <c r="M8" s="19"/>
      <c r="N8" s="19"/>
      <c r="O8" s="19"/>
      <c r="P8" s="19"/>
      <c r="Q8" s="19"/>
      <c r="R8" s="19"/>
      <c r="S8" s="19"/>
      <c r="T8" s="19"/>
      <c r="U8" s="19"/>
      <c r="V8" s="19"/>
    </row>
    <row r="9" spans="1:46" x14ac:dyDescent="0.3">
      <c r="A9" s="19"/>
      <c r="B9" s="19"/>
      <c r="C9" s="19"/>
      <c r="D9" s="19"/>
      <c r="E9" s="19"/>
      <c r="F9" s="19"/>
      <c r="G9" s="19"/>
      <c r="H9" s="19"/>
      <c r="I9" s="19"/>
      <c r="J9" s="19"/>
      <c r="K9" s="19"/>
      <c r="L9" s="19"/>
      <c r="M9" s="19"/>
      <c r="N9" s="19"/>
      <c r="O9" s="19"/>
      <c r="P9" s="19"/>
      <c r="Q9" s="19"/>
      <c r="R9" s="19"/>
      <c r="S9" s="19"/>
      <c r="T9" s="19"/>
      <c r="U9" s="19"/>
      <c r="V9" s="19"/>
    </row>
    <row r="10" spans="1:46" x14ac:dyDescent="0.3">
      <c r="A10" s="19"/>
      <c r="B10" s="19"/>
      <c r="C10" s="19"/>
      <c r="D10" s="19"/>
      <c r="E10" s="19"/>
      <c r="F10" s="19"/>
      <c r="G10" s="19"/>
      <c r="H10" s="19"/>
      <c r="I10" s="19"/>
      <c r="J10" s="19"/>
      <c r="K10" s="19"/>
      <c r="L10" s="19"/>
      <c r="M10" s="19"/>
      <c r="N10" s="19"/>
      <c r="O10" s="19"/>
      <c r="P10" s="19"/>
      <c r="Q10" s="19"/>
      <c r="R10" s="19"/>
      <c r="S10" s="19"/>
      <c r="T10" s="19"/>
      <c r="U10" s="19"/>
      <c r="V10" s="19"/>
      <c r="AI10" s="13"/>
    </row>
    <row r="11" spans="1:46" x14ac:dyDescent="0.3">
      <c r="A11" s="19"/>
      <c r="B11" s="19"/>
      <c r="C11" s="19"/>
      <c r="D11" s="19"/>
      <c r="E11" s="19"/>
      <c r="F11" s="19"/>
      <c r="G11" s="19"/>
      <c r="H11" s="19"/>
      <c r="I11" s="19"/>
      <c r="J11" s="19"/>
      <c r="K11" s="19"/>
      <c r="L11" s="19"/>
      <c r="M11" s="19"/>
      <c r="N11" s="19"/>
      <c r="O11" s="19"/>
      <c r="P11" s="19"/>
      <c r="Q11" s="19"/>
      <c r="R11" s="19"/>
      <c r="S11" s="19"/>
      <c r="T11" s="19"/>
      <c r="U11" s="19"/>
      <c r="V11" s="19"/>
      <c r="AI11" s="14"/>
    </row>
    <row r="12" spans="1:46" x14ac:dyDescent="0.3">
      <c r="A12" s="19"/>
      <c r="B12" s="19"/>
      <c r="C12" s="19"/>
      <c r="D12" s="19"/>
      <c r="E12" s="19"/>
      <c r="F12" s="19"/>
      <c r="G12" s="19"/>
      <c r="H12" s="19"/>
      <c r="I12" s="19"/>
      <c r="J12" s="19"/>
      <c r="K12" s="19"/>
      <c r="L12" s="19"/>
      <c r="M12" s="19"/>
      <c r="N12" s="19"/>
      <c r="O12" s="19"/>
      <c r="P12" s="19"/>
      <c r="Q12" s="19"/>
      <c r="R12" s="19"/>
      <c r="S12" s="19"/>
      <c r="T12" s="19"/>
      <c r="U12" s="19"/>
      <c r="V12" s="19"/>
    </row>
    <row r="13" spans="1:46" x14ac:dyDescent="0.3">
      <c r="A13" s="19"/>
      <c r="B13" s="19"/>
      <c r="C13" s="19"/>
      <c r="D13" s="19"/>
      <c r="E13" s="19"/>
      <c r="F13" s="19"/>
      <c r="G13" s="19"/>
      <c r="H13" s="19"/>
      <c r="I13" s="19"/>
      <c r="J13" s="19"/>
      <c r="K13" s="19"/>
      <c r="L13" s="19"/>
      <c r="M13" s="19"/>
      <c r="N13" s="19"/>
      <c r="O13" s="19"/>
      <c r="P13" s="19"/>
      <c r="Q13" s="19"/>
      <c r="R13" s="19"/>
      <c r="S13" s="19"/>
      <c r="T13" s="19"/>
      <c r="U13" s="19"/>
      <c r="V13" s="19"/>
    </row>
    <row r="14" spans="1:46" x14ac:dyDescent="0.3">
      <c r="A14" s="19"/>
      <c r="B14" s="19"/>
      <c r="C14" s="19"/>
      <c r="D14" s="19"/>
      <c r="E14" s="19"/>
      <c r="F14" s="19"/>
      <c r="G14" s="19"/>
      <c r="H14" s="19"/>
      <c r="I14" s="19"/>
      <c r="J14" s="19"/>
      <c r="K14" s="19"/>
      <c r="L14" s="19"/>
      <c r="M14" s="19"/>
      <c r="N14" s="19"/>
      <c r="O14" s="19"/>
      <c r="P14" s="19"/>
      <c r="Q14" s="19"/>
      <c r="R14" s="19"/>
      <c r="S14" s="19"/>
      <c r="T14" s="19"/>
      <c r="U14" s="19"/>
      <c r="V14" s="19"/>
    </row>
    <row r="15" spans="1:46" x14ac:dyDescent="0.3">
      <c r="A15" s="19"/>
      <c r="B15" s="19"/>
      <c r="C15" s="19"/>
      <c r="D15" s="19"/>
      <c r="E15" s="19"/>
      <c r="F15" s="19"/>
      <c r="G15" s="19"/>
      <c r="H15" s="19"/>
      <c r="I15" s="19"/>
      <c r="J15" s="19"/>
      <c r="K15" s="19"/>
      <c r="L15" s="19"/>
      <c r="M15" s="19"/>
      <c r="N15" s="19"/>
      <c r="O15" s="19"/>
      <c r="P15" s="19"/>
      <c r="Q15" s="19"/>
      <c r="R15" s="19"/>
      <c r="S15" s="19"/>
      <c r="T15" s="19"/>
      <c r="U15" s="19"/>
      <c r="V15" s="19"/>
    </row>
    <row r="16" spans="1:46" x14ac:dyDescent="0.3">
      <c r="A16" s="19"/>
      <c r="B16" s="19"/>
      <c r="C16" s="19"/>
      <c r="D16" s="19"/>
      <c r="E16" s="19"/>
      <c r="F16" s="19"/>
      <c r="G16" s="19"/>
      <c r="H16" s="19"/>
      <c r="I16" s="19"/>
      <c r="J16" s="19"/>
      <c r="K16" s="19"/>
      <c r="L16" s="19"/>
      <c r="M16" s="19"/>
      <c r="N16" s="19"/>
      <c r="O16" s="19"/>
      <c r="P16" s="19"/>
      <c r="Q16" s="19"/>
      <c r="R16" s="19"/>
      <c r="S16" s="19"/>
      <c r="T16" s="19"/>
      <c r="U16" s="19"/>
      <c r="V16" s="19"/>
    </row>
    <row r="17" spans="1:22" x14ac:dyDescent="0.3">
      <c r="A17" s="19"/>
      <c r="B17" s="19"/>
      <c r="C17" s="19"/>
      <c r="D17" s="19"/>
      <c r="E17" s="19"/>
      <c r="F17" s="19"/>
      <c r="G17" s="19"/>
      <c r="H17" s="19"/>
      <c r="I17" s="19"/>
      <c r="J17" s="19"/>
      <c r="K17" s="19"/>
      <c r="L17" s="19"/>
      <c r="M17" s="19"/>
      <c r="N17" s="19"/>
      <c r="O17" s="19"/>
      <c r="P17" s="19"/>
      <c r="Q17" s="19"/>
      <c r="R17" s="19"/>
      <c r="S17" s="19"/>
      <c r="T17" s="19"/>
      <c r="U17" s="19"/>
      <c r="V17" s="19"/>
    </row>
    <row r="18" spans="1:22" x14ac:dyDescent="0.3">
      <c r="A18" s="19"/>
      <c r="B18" s="19"/>
      <c r="C18" s="19"/>
      <c r="D18" s="19"/>
      <c r="E18" s="19"/>
      <c r="F18" s="19"/>
      <c r="G18" s="19"/>
      <c r="H18" s="19"/>
      <c r="I18" s="19"/>
      <c r="J18" s="19"/>
      <c r="K18" s="19"/>
      <c r="L18" s="19"/>
      <c r="M18" s="19"/>
      <c r="N18" s="19"/>
      <c r="O18" s="19"/>
      <c r="P18" s="19"/>
      <c r="Q18" s="19"/>
      <c r="R18" s="19"/>
      <c r="S18" s="19"/>
      <c r="T18" s="19"/>
      <c r="U18" s="19"/>
      <c r="V18" s="19"/>
    </row>
    <row r="19" spans="1:22" x14ac:dyDescent="0.3">
      <c r="A19" s="19"/>
      <c r="B19" s="19"/>
      <c r="C19" s="19"/>
      <c r="D19" s="19"/>
      <c r="E19" s="19"/>
      <c r="F19" s="19"/>
      <c r="G19" s="19"/>
      <c r="H19" s="19"/>
      <c r="I19" s="19"/>
      <c r="J19" s="19"/>
      <c r="K19" s="19"/>
      <c r="L19" s="19"/>
      <c r="M19" s="19"/>
      <c r="N19" s="19"/>
      <c r="O19" s="19"/>
      <c r="P19" s="19"/>
      <c r="Q19" s="19"/>
      <c r="R19" s="19"/>
      <c r="S19" s="19"/>
      <c r="T19" s="19"/>
      <c r="U19" s="19"/>
      <c r="V19" s="19"/>
    </row>
    <row r="20" spans="1:22" x14ac:dyDescent="0.3">
      <c r="A20" s="19"/>
      <c r="B20" s="19"/>
      <c r="C20" s="19"/>
      <c r="D20" s="19"/>
      <c r="E20" s="19"/>
      <c r="F20" s="19"/>
      <c r="G20" s="19"/>
      <c r="H20" s="19"/>
      <c r="I20" s="19"/>
      <c r="J20" s="19"/>
      <c r="K20" s="19"/>
      <c r="L20" s="19"/>
      <c r="M20" s="19"/>
      <c r="N20" s="19"/>
      <c r="O20" s="19"/>
      <c r="P20" s="19"/>
      <c r="Q20" s="19"/>
      <c r="R20" s="19"/>
      <c r="S20" s="19"/>
      <c r="T20" s="19"/>
      <c r="U20" s="19"/>
      <c r="V20" s="19"/>
    </row>
    <row r="21" spans="1:22" x14ac:dyDescent="0.3">
      <c r="A21" s="19"/>
      <c r="B21" s="19"/>
      <c r="C21" s="19"/>
      <c r="D21" s="19"/>
      <c r="E21" s="19"/>
      <c r="F21" s="19"/>
      <c r="G21" s="19"/>
      <c r="H21" s="19"/>
      <c r="I21" s="19"/>
      <c r="J21" s="19"/>
      <c r="K21" s="19"/>
      <c r="L21" s="19"/>
      <c r="M21" s="19"/>
      <c r="N21" s="19"/>
      <c r="O21" s="19"/>
      <c r="P21" s="19"/>
      <c r="Q21" s="19"/>
      <c r="R21" s="19"/>
      <c r="S21" s="19"/>
      <c r="T21" s="19"/>
      <c r="U21" s="19"/>
      <c r="V21" s="19"/>
    </row>
    <row r="22" spans="1:22" x14ac:dyDescent="0.3">
      <c r="A22" s="19"/>
      <c r="B22" s="19"/>
      <c r="C22" s="19"/>
      <c r="D22" s="19"/>
      <c r="E22" s="19"/>
      <c r="F22" s="19"/>
      <c r="G22" s="19"/>
      <c r="H22" s="19"/>
      <c r="I22" s="19"/>
      <c r="J22" s="19"/>
      <c r="K22" s="19"/>
      <c r="L22" s="19"/>
      <c r="M22" s="19"/>
      <c r="N22" s="19"/>
      <c r="O22" s="19"/>
      <c r="P22" s="19"/>
      <c r="Q22" s="19"/>
      <c r="R22" s="19"/>
      <c r="S22" s="19"/>
      <c r="T22" s="19"/>
      <c r="U22" s="19"/>
      <c r="V22" s="19"/>
    </row>
    <row r="23" spans="1:22" x14ac:dyDescent="0.3">
      <c r="A23" s="19"/>
      <c r="B23" s="19"/>
      <c r="C23" s="19"/>
      <c r="D23" s="19"/>
      <c r="E23" s="19"/>
      <c r="F23" s="19"/>
      <c r="G23" s="19"/>
      <c r="H23" s="19"/>
      <c r="I23" s="19"/>
      <c r="J23" s="19"/>
      <c r="K23" s="19"/>
      <c r="L23" s="19"/>
      <c r="M23" s="19"/>
      <c r="N23" s="19"/>
      <c r="O23" s="19"/>
      <c r="P23" s="19"/>
      <c r="Q23" s="19"/>
      <c r="R23" s="19"/>
      <c r="S23" s="19"/>
      <c r="T23" s="19"/>
      <c r="U23" s="19"/>
      <c r="V23" s="19"/>
    </row>
    <row r="24" spans="1:22" x14ac:dyDescent="0.3">
      <c r="A24" s="19"/>
      <c r="B24" s="19"/>
      <c r="C24" s="19"/>
      <c r="D24" s="19"/>
      <c r="E24" s="19"/>
      <c r="F24" s="19"/>
      <c r="G24" s="19"/>
      <c r="H24" s="19"/>
      <c r="I24" s="19"/>
      <c r="J24" s="19"/>
      <c r="K24" s="19"/>
      <c r="L24" s="19"/>
      <c r="M24" s="19"/>
      <c r="N24" s="19"/>
      <c r="O24" s="19"/>
      <c r="P24" s="19"/>
      <c r="Q24" s="19"/>
      <c r="R24" s="19"/>
      <c r="S24" s="19"/>
      <c r="T24" s="19"/>
      <c r="U24" s="19"/>
      <c r="V24" s="19"/>
    </row>
    <row r="25" spans="1:22" x14ac:dyDescent="0.3">
      <c r="A25" s="19"/>
      <c r="B25" s="19"/>
      <c r="C25" s="19"/>
      <c r="D25" s="19"/>
      <c r="E25" s="19"/>
      <c r="F25" s="19"/>
      <c r="G25" s="19"/>
      <c r="H25" s="19"/>
      <c r="I25" s="19"/>
      <c r="J25" s="19"/>
      <c r="K25" s="19"/>
      <c r="L25" s="19"/>
      <c r="M25" s="19"/>
      <c r="N25" s="19"/>
      <c r="O25" s="19"/>
      <c r="P25" s="19"/>
      <c r="Q25" s="19"/>
      <c r="R25" s="19"/>
      <c r="S25" s="19"/>
      <c r="T25" s="19"/>
      <c r="U25" s="19"/>
      <c r="V25" s="19"/>
    </row>
    <row r="26" spans="1:22" x14ac:dyDescent="0.3">
      <c r="A26" s="19"/>
      <c r="B26" s="19"/>
      <c r="C26" s="19"/>
      <c r="D26" s="19"/>
      <c r="E26" s="19"/>
      <c r="F26" s="19"/>
      <c r="G26" s="19"/>
      <c r="H26" s="19"/>
      <c r="I26" s="19"/>
      <c r="J26" s="19"/>
      <c r="K26" s="19"/>
      <c r="L26" s="19"/>
      <c r="M26" s="19"/>
      <c r="N26" s="19"/>
      <c r="O26" s="19"/>
      <c r="P26" s="19"/>
      <c r="Q26" s="19"/>
      <c r="R26" s="19"/>
      <c r="S26" s="19"/>
      <c r="T26" s="19"/>
      <c r="U26" s="19"/>
      <c r="V26" s="19"/>
    </row>
    <row r="27" spans="1:22" x14ac:dyDescent="0.3">
      <c r="A27" s="19"/>
      <c r="B27" s="19"/>
      <c r="C27" s="19"/>
      <c r="D27" s="19"/>
      <c r="E27" s="19"/>
      <c r="F27" s="19"/>
      <c r="G27" s="19"/>
      <c r="H27" s="19"/>
      <c r="I27" s="19"/>
      <c r="J27" s="19"/>
      <c r="K27" s="19"/>
      <c r="L27" s="19"/>
      <c r="M27" s="19"/>
      <c r="N27" s="19"/>
      <c r="O27" s="19"/>
      <c r="P27" s="19"/>
      <c r="Q27" s="19"/>
      <c r="R27" s="19"/>
      <c r="S27" s="19"/>
      <c r="T27" s="19"/>
      <c r="U27" s="19"/>
      <c r="V27" s="19"/>
    </row>
    <row r="28" spans="1:22" x14ac:dyDescent="0.3">
      <c r="A28" s="19"/>
      <c r="B28" s="19"/>
      <c r="C28" s="19"/>
      <c r="D28" s="19"/>
      <c r="E28" s="19"/>
      <c r="F28" s="19"/>
      <c r="G28" s="19"/>
      <c r="H28" s="19"/>
      <c r="I28" s="19"/>
      <c r="J28" s="19"/>
      <c r="K28" s="19"/>
      <c r="L28" s="19"/>
      <c r="M28" s="19"/>
      <c r="N28" s="19"/>
      <c r="O28" s="19"/>
      <c r="P28" s="19"/>
      <c r="Q28" s="19"/>
      <c r="R28" s="19"/>
      <c r="S28" s="19"/>
      <c r="T28" s="19"/>
      <c r="U28" s="19"/>
      <c r="V28" s="19"/>
    </row>
    <row r="29" spans="1:22" x14ac:dyDescent="0.3">
      <c r="A29" s="19"/>
      <c r="B29" s="19"/>
      <c r="C29" s="19"/>
      <c r="D29" s="19"/>
      <c r="E29" s="19"/>
      <c r="F29" s="19"/>
      <c r="G29" s="19"/>
      <c r="H29" s="19"/>
      <c r="I29" s="19"/>
      <c r="J29" s="19"/>
      <c r="K29" s="19"/>
      <c r="L29" s="19"/>
      <c r="M29" s="19"/>
      <c r="N29" s="19"/>
      <c r="O29" s="19"/>
      <c r="P29" s="19"/>
      <c r="Q29" s="19"/>
      <c r="R29" s="19"/>
      <c r="S29" s="19"/>
      <c r="T29" s="19"/>
      <c r="U29" s="19"/>
      <c r="V29" s="19"/>
    </row>
    <row r="30" spans="1:22" x14ac:dyDescent="0.3">
      <c r="A30" s="19"/>
      <c r="B30" s="19"/>
      <c r="C30" s="19"/>
      <c r="D30" s="19"/>
      <c r="E30" s="19"/>
      <c r="F30" s="19"/>
      <c r="G30" s="19"/>
      <c r="H30" s="19"/>
      <c r="I30" s="19"/>
      <c r="J30" s="19"/>
      <c r="K30" s="19"/>
      <c r="L30" s="19"/>
      <c r="M30" s="19"/>
      <c r="N30" s="19"/>
      <c r="O30" s="19"/>
      <c r="P30" s="19"/>
      <c r="Q30" s="19"/>
      <c r="R30" s="19"/>
      <c r="S30" s="19"/>
      <c r="T30" s="19"/>
      <c r="U30" s="19"/>
      <c r="V30" s="19"/>
    </row>
    <row r="31" spans="1:22" x14ac:dyDescent="0.3">
      <c r="A31" s="19"/>
      <c r="B31" s="19"/>
      <c r="C31" s="19"/>
      <c r="D31" s="19"/>
      <c r="E31" s="19"/>
      <c r="F31" s="19"/>
      <c r="G31" s="19"/>
      <c r="H31" s="19"/>
      <c r="I31" s="19"/>
      <c r="J31" s="19"/>
      <c r="K31" s="19"/>
      <c r="L31" s="19"/>
      <c r="M31" s="19"/>
      <c r="N31" s="19"/>
      <c r="O31" s="19"/>
      <c r="P31" s="19"/>
      <c r="Q31" s="19"/>
      <c r="R31" s="19"/>
      <c r="S31" s="19"/>
      <c r="T31" s="19"/>
      <c r="U31" s="19"/>
      <c r="V31" s="19"/>
    </row>
    <row r="32" spans="1:22" x14ac:dyDescent="0.3">
      <c r="A32" s="19"/>
      <c r="B32" s="19"/>
      <c r="C32" s="19"/>
      <c r="D32" s="19"/>
      <c r="E32" s="19"/>
      <c r="F32" s="19"/>
      <c r="G32" s="19"/>
      <c r="H32" s="19"/>
      <c r="I32" s="19"/>
      <c r="J32" s="19"/>
      <c r="K32" s="19"/>
      <c r="L32" s="19"/>
      <c r="M32" s="19"/>
      <c r="N32" s="19"/>
      <c r="O32" s="19"/>
      <c r="P32" s="19"/>
      <c r="Q32" s="19"/>
      <c r="R32" s="19"/>
      <c r="S32" s="19"/>
      <c r="T32" s="19"/>
      <c r="U32" s="19"/>
      <c r="V32" s="19"/>
    </row>
    <row r="33" spans="1:22" x14ac:dyDescent="0.3">
      <c r="A33" s="19"/>
      <c r="B33" s="19"/>
      <c r="C33" s="19"/>
      <c r="D33" s="19"/>
      <c r="E33" s="19"/>
      <c r="F33" s="19"/>
      <c r="G33" s="19"/>
      <c r="H33" s="19"/>
      <c r="I33" s="19"/>
      <c r="J33" s="19"/>
      <c r="K33" s="19"/>
      <c r="L33" s="19"/>
      <c r="M33" s="19"/>
      <c r="N33" s="19"/>
      <c r="O33" s="19"/>
      <c r="P33" s="19"/>
      <c r="Q33" s="19"/>
      <c r="R33" s="19"/>
      <c r="S33" s="19"/>
      <c r="T33" s="19"/>
      <c r="U33" s="19"/>
      <c r="V33" s="19"/>
    </row>
    <row r="34" spans="1:22" x14ac:dyDescent="0.3">
      <c r="A34" s="19"/>
      <c r="B34" s="19"/>
      <c r="C34" s="19"/>
      <c r="D34" s="19"/>
      <c r="E34" s="19"/>
      <c r="F34" s="19"/>
      <c r="G34" s="19"/>
      <c r="H34" s="19"/>
      <c r="I34" s="19"/>
      <c r="J34" s="19"/>
      <c r="K34" s="19"/>
      <c r="L34" s="19"/>
      <c r="M34" s="19"/>
      <c r="N34" s="19"/>
      <c r="O34" s="19"/>
      <c r="P34" s="19"/>
      <c r="Q34" s="19"/>
      <c r="R34" s="19"/>
      <c r="S34" s="19"/>
      <c r="T34" s="19"/>
      <c r="U34" s="19"/>
      <c r="V34" s="19"/>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44461-E985-4917-BFCF-1A7010CF2199}">
  <dimension ref="A2:I9"/>
  <sheetViews>
    <sheetView workbookViewId="0">
      <selection activeCell="I11" sqref="I11"/>
    </sheetView>
  </sheetViews>
  <sheetFormatPr defaultRowHeight="14.4" x14ac:dyDescent="0.3"/>
  <sheetData>
    <row r="2" spans="1:9" ht="15.6" x14ac:dyDescent="0.3">
      <c r="A2" s="15" t="s">
        <v>346</v>
      </c>
      <c r="I2" s="15" t="s">
        <v>347</v>
      </c>
    </row>
    <row r="3" spans="1:9" x14ac:dyDescent="0.3">
      <c r="A3" t="s">
        <v>341</v>
      </c>
      <c r="I3" t="s">
        <v>200</v>
      </c>
    </row>
    <row r="4" spans="1:9" x14ac:dyDescent="0.3">
      <c r="A4" t="s">
        <v>342</v>
      </c>
      <c r="I4" t="s">
        <v>12</v>
      </c>
    </row>
    <row r="5" spans="1:9" x14ac:dyDescent="0.3">
      <c r="A5" t="s">
        <v>343</v>
      </c>
      <c r="I5">
        <v>11</v>
      </c>
    </row>
    <row r="6" spans="1:9" x14ac:dyDescent="0.3">
      <c r="A6" t="s">
        <v>344</v>
      </c>
      <c r="I6" t="s">
        <v>348</v>
      </c>
    </row>
    <row r="7" spans="1:9" x14ac:dyDescent="0.3">
      <c r="A7" t="s">
        <v>345</v>
      </c>
      <c r="I7" t="s">
        <v>351</v>
      </c>
    </row>
    <row r="8" spans="1:9" x14ac:dyDescent="0.3">
      <c r="I8" t="s">
        <v>350</v>
      </c>
    </row>
    <row r="9" spans="1:9" x14ac:dyDescent="0.3">
      <c r="I9" t="s">
        <v>349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FD78F-0F56-4D1A-BE14-45C84CB96F18}">
  <dimension ref="A3:G10"/>
  <sheetViews>
    <sheetView workbookViewId="0">
      <selection activeCell="G10" sqref="G10"/>
    </sheetView>
  </sheetViews>
  <sheetFormatPr defaultRowHeight="14.4" x14ac:dyDescent="0.3"/>
  <cols>
    <col min="1" max="1" width="19.21875" bestFit="1" customWidth="1"/>
    <col min="2" max="2" width="15.5546875" bestFit="1" customWidth="1"/>
    <col min="3" max="3" width="10" bestFit="1" customWidth="1"/>
    <col min="4" max="4" width="7.44140625" bestFit="1" customWidth="1"/>
    <col min="5" max="5" width="6" bestFit="1" customWidth="1"/>
    <col min="6" max="6" width="5" bestFit="1" customWidth="1"/>
    <col min="7" max="7" width="10.77734375" bestFit="1" customWidth="1"/>
  </cols>
  <sheetData>
    <row r="3" spans="1:7" x14ac:dyDescent="0.3">
      <c r="A3" s="11" t="s">
        <v>316</v>
      </c>
      <c r="B3" s="11" t="s">
        <v>315</v>
      </c>
    </row>
    <row r="4" spans="1:7" x14ac:dyDescent="0.3">
      <c r="A4" s="11" t="s">
        <v>313</v>
      </c>
      <c r="B4" t="s">
        <v>218</v>
      </c>
      <c r="C4" t="s">
        <v>200</v>
      </c>
      <c r="D4" t="s">
        <v>211</v>
      </c>
      <c r="E4" t="s">
        <v>206</v>
      </c>
      <c r="F4" t="s">
        <v>203</v>
      </c>
      <c r="G4" t="s">
        <v>314</v>
      </c>
    </row>
    <row r="5" spans="1:7" x14ac:dyDescent="0.3">
      <c r="A5" s="12" t="s">
        <v>30</v>
      </c>
      <c r="B5">
        <v>84</v>
      </c>
      <c r="C5">
        <v>2662</v>
      </c>
      <c r="D5">
        <v>210</v>
      </c>
      <c r="E5">
        <v>2063</v>
      </c>
      <c r="F5">
        <v>437</v>
      </c>
      <c r="G5">
        <v>5456</v>
      </c>
    </row>
    <row r="6" spans="1:7" x14ac:dyDescent="0.3">
      <c r="A6" s="12" t="s">
        <v>17</v>
      </c>
      <c r="B6">
        <v>394</v>
      </c>
      <c r="C6">
        <v>365</v>
      </c>
      <c r="D6">
        <v>711</v>
      </c>
      <c r="E6">
        <v>741</v>
      </c>
      <c r="F6">
        <v>1424</v>
      </c>
      <c r="G6">
        <v>3635</v>
      </c>
    </row>
    <row r="7" spans="1:7" x14ac:dyDescent="0.3">
      <c r="A7" s="12" t="s">
        <v>12</v>
      </c>
      <c r="B7">
        <v>464</v>
      </c>
      <c r="C7">
        <v>6522</v>
      </c>
      <c r="D7">
        <v>788</v>
      </c>
      <c r="E7">
        <v>2131</v>
      </c>
      <c r="F7">
        <v>586</v>
      </c>
      <c r="G7">
        <v>10491</v>
      </c>
    </row>
    <row r="8" spans="1:7" x14ac:dyDescent="0.3">
      <c r="A8" s="12" t="s">
        <v>21</v>
      </c>
      <c r="B8">
        <v>423</v>
      </c>
      <c r="C8">
        <v>3938</v>
      </c>
      <c r="D8">
        <v>1032</v>
      </c>
      <c r="E8">
        <v>1881</v>
      </c>
      <c r="F8">
        <v>43</v>
      </c>
      <c r="G8">
        <v>7317</v>
      </c>
    </row>
    <row r="9" spans="1:7" x14ac:dyDescent="0.3">
      <c r="A9" s="12" t="s">
        <v>33</v>
      </c>
      <c r="B9">
        <v>350</v>
      </c>
      <c r="C9">
        <v>1722</v>
      </c>
      <c r="D9">
        <v>1131</v>
      </c>
      <c r="E9">
        <v>4135</v>
      </c>
      <c r="F9">
        <v>1021</v>
      </c>
      <c r="G9">
        <v>8359</v>
      </c>
    </row>
    <row r="10" spans="1:7" x14ac:dyDescent="0.3">
      <c r="A10" s="12" t="s">
        <v>314</v>
      </c>
      <c r="B10">
        <v>1715</v>
      </c>
      <c r="C10">
        <v>15209</v>
      </c>
      <c r="D10">
        <v>3872</v>
      </c>
      <c r="E10">
        <v>10951</v>
      </c>
      <c r="F10">
        <v>3511</v>
      </c>
      <c r="G10">
        <v>35258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DFEF4-A494-4120-B67A-7571B54C74FC}">
  <dimension ref="A3:B7"/>
  <sheetViews>
    <sheetView workbookViewId="0">
      <selection activeCell="A3" sqref="A3"/>
    </sheetView>
  </sheetViews>
  <sheetFormatPr defaultRowHeight="14.4" x14ac:dyDescent="0.3"/>
  <cols>
    <col min="1" max="1" width="12.5546875" bestFit="1" customWidth="1"/>
    <col min="2" max="2" width="15.88671875" bestFit="1" customWidth="1"/>
  </cols>
  <sheetData>
    <row r="3" spans="1:2" x14ac:dyDescent="0.3">
      <c r="A3" s="11" t="s">
        <v>313</v>
      </c>
      <c r="B3" t="s">
        <v>317</v>
      </c>
    </row>
    <row r="4" spans="1:2" x14ac:dyDescent="0.3">
      <c r="A4" s="12" t="s">
        <v>14</v>
      </c>
      <c r="B4">
        <v>30</v>
      </c>
    </row>
    <row r="5" spans="1:2" x14ac:dyDescent="0.3">
      <c r="A5" s="12" t="s">
        <v>19</v>
      </c>
      <c r="B5">
        <v>34</v>
      </c>
    </row>
    <row r="6" spans="1:2" x14ac:dyDescent="0.3">
      <c r="A6" s="12" t="s">
        <v>22</v>
      </c>
      <c r="B6">
        <v>36</v>
      </c>
    </row>
    <row r="7" spans="1:2" x14ac:dyDescent="0.3">
      <c r="A7" s="12" t="s">
        <v>314</v>
      </c>
      <c r="B7">
        <v>100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1EA90-65B3-4520-821F-11881E4C4056}">
  <dimension ref="A1:B10"/>
  <sheetViews>
    <sheetView workbookViewId="0">
      <selection activeCell="A4" sqref="A4"/>
    </sheetView>
  </sheetViews>
  <sheetFormatPr defaultRowHeight="14.4" x14ac:dyDescent="0.3"/>
  <cols>
    <col min="1" max="1" width="15.21875" bestFit="1" customWidth="1"/>
    <col min="2" max="2" width="6.33203125" bestFit="1" customWidth="1"/>
    <col min="3" max="3" width="15.5546875" bestFit="1" customWidth="1"/>
    <col min="4" max="4" width="10.77734375" bestFit="1" customWidth="1"/>
    <col min="5" max="5" width="4" bestFit="1" customWidth="1"/>
    <col min="6" max="6" width="4.77734375" bestFit="1" customWidth="1"/>
    <col min="7" max="7" width="3.88671875" bestFit="1" customWidth="1"/>
    <col min="8" max="8" width="3.21875" bestFit="1" customWidth="1"/>
    <col min="9" max="9" width="4.33203125" bestFit="1" customWidth="1"/>
    <col min="10" max="10" width="4.109375" bestFit="1" customWidth="1"/>
    <col min="11" max="11" width="3.88671875" bestFit="1" customWidth="1"/>
    <col min="12" max="12" width="4.44140625" bestFit="1" customWidth="1"/>
    <col min="13" max="13" width="4.109375" bestFit="1" customWidth="1"/>
    <col min="14" max="14" width="10.77734375" bestFit="1" customWidth="1"/>
    <col min="15" max="82" width="8.33203125" bestFit="1" customWidth="1"/>
    <col min="83" max="83" width="10.77734375" bestFit="1" customWidth="1"/>
  </cols>
  <sheetData>
    <row r="1" spans="1:2" x14ac:dyDescent="0.3">
      <c r="A1" s="11" t="s">
        <v>5</v>
      </c>
      <c r="B1" t="s">
        <v>318</v>
      </c>
    </row>
    <row r="2" spans="1:2" x14ac:dyDescent="0.3">
      <c r="A2" s="11" t="s">
        <v>311</v>
      </c>
      <c r="B2" t="s">
        <v>318</v>
      </c>
    </row>
    <row r="4" spans="1:2" x14ac:dyDescent="0.3">
      <c r="A4" s="11" t="s">
        <v>313</v>
      </c>
    </row>
    <row r="5" spans="1:2" x14ac:dyDescent="0.3">
      <c r="A5" s="12" t="s">
        <v>30</v>
      </c>
    </row>
    <row r="6" spans="1:2" x14ac:dyDescent="0.3">
      <c r="A6" s="12" t="s">
        <v>17</v>
      </c>
    </row>
    <row r="7" spans="1:2" x14ac:dyDescent="0.3">
      <c r="A7" s="12" t="s">
        <v>12</v>
      </c>
    </row>
    <row r="8" spans="1:2" x14ac:dyDescent="0.3">
      <c r="A8" s="12" t="s">
        <v>21</v>
      </c>
    </row>
    <row r="9" spans="1:2" x14ac:dyDescent="0.3">
      <c r="A9" s="12" t="s">
        <v>33</v>
      </c>
    </row>
    <row r="10" spans="1:2" x14ac:dyDescent="0.3">
      <c r="A10" s="12" t="s">
        <v>314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FCCE8-05FB-4287-8352-7D686794CB89}">
  <dimension ref="A3:E10"/>
  <sheetViews>
    <sheetView workbookViewId="0">
      <selection activeCell="A4" sqref="A4"/>
    </sheetView>
  </sheetViews>
  <sheetFormatPr defaultRowHeight="14.4" x14ac:dyDescent="0.3"/>
  <cols>
    <col min="1" max="1" width="15.88671875" bestFit="1" customWidth="1"/>
    <col min="2" max="2" width="15.5546875" bestFit="1" customWidth="1"/>
    <col min="3" max="3" width="3.77734375" bestFit="1" customWidth="1"/>
    <col min="4" max="4" width="10.77734375" bestFit="1" customWidth="1"/>
    <col min="5" max="5" width="15.6640625" bestFit="1" customWidth="1"/>
  </cols>
  <sheetData>
    <row r="3" spans="1:5" x14ac:dyDescent="0.3">
      <c r="A3" s="11" t="s">
        <v>317</v>
      </c>
      <c r="B3" s="11" t="s">
        <v>315</v>
      </c>
    </row>
    <row r="4" spans="1:5" x14ac:dyDescent="0.3">
      <c r="A4" s="11" t="s">
        <v>313</v>
      </c>
      <c r="B4" t="s">
        <v>320</v>
      </c>
      <c r="C4" t="s">
        <v>321</v>
      </c>
      <c r="D4" t="s">
        <v>314</v>
      </c>
      <c r="E4" s="13" t="s">
        <v>322</v>
      </c>
    </row>
    <row r="5" spans="1:5" x14ac:dyDescent="0.3">
      <c r="A5" s="12" t="s">
        <v>30</v>
      </c>
      <c r="B5">
        <v>9</v>
      </c>
      <c r="C5">
        <v>5</v>
      </c>
      <c r="D5">
        <v>14</v>
      </c>
      <c r="E5" s="14">
        <f t="shared" ref="E5:E10" si="0">C5/D5</f>
        <v>0.35714285714285715</v>
      </c>
    </row>
    <row r="6" spans="1:5" x14ac:dyDescent="0.3">
      <c r="A6" s="12" t="s">
        <v>17</v>
      </c>
      <c r="B6">
        <v>15</v>
      </c>
      <c r="C6">
        <v>3</v>
      </c>
      <c r="D6">
        <v>18</v>
      </c>
      <c r="E6" s="14">
        <f t="shared" si="0"/>
        <v>0.16666666666666666</v>
      </c>
    </row>
    <row r="7" spans="1:5" x14ac:dyDescent="0.3">
      <c r="A7" s="12" t="s">
        <v>12</v>
      </c>
      <c r="B7">
        <v>15</v>
      </c>
      <c r="C7">
        <v>10</v>
      </c>
      <c r="D7">
        <v>25</v>
      </c>
      <c r="E7" s="14">
        <f t="shared" si="0"/>
        <v>0.4</v>
      </c>
    </row>
    <row r="8" spans="1:5" x14ac:dyDescent="0.3">
      <c r="A8" s="12" t="s">
        <v>21</v>
      </c>
      <c r="B8">
        <v>16</v>
      </c>
      <c r="C8">
        <v>4</v>
      </c>
      <c r="D8">
        <v>20</v>
      </c>
      <c r="E8" s="14">
        <f t="shared" si="0"/>
        <v>0.2</v>
      </c>
    </row>
    <row r="9" spans="1:5" x14ac:dyDescent="0.3">
      <c r="A9" s="12" t="s">
        <v>33</v>
      </c>
      <c r="B9">
        <v>15</v>
      </c>
      <c r="C9">
        <v>8</v>
      </c>
      <c r="D9">
        <v>23</v>
      </c>
      <c r="E9" s="14">
        <f t="shared" si="0"/>
        <v>0.34782608695652173</v>
      </c>
    </row>
    <row r="10" spans="1:5" x14ac:dyDescent="0.3">
      <c r="A10" s="12" t="s">
        <v>314</v>
      </c>
      <c r="B10">
        <v>70</v>
      </c>
      <c r="C10">
        <v>30</v>
      </c>
      <c r="D10">
        <v>100</v>
      </c>
      <c r="E10" s="14">
        <f t="shared" si="0"/>
        <v>0.3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8768-D929-4126-9D01-C6EF3526AA99}">
  <dimension ref="A3:B5"/>
  <sheetViews>
    <sheetView workbookViewId="0">
      <selection activeCell="A3" sqref="A3"/>
    </sheetView>
  </sheetViews>
  <sheetFormatPr defaultRowHeight="14.4" x14ac:dyDescent="0.3"/>
  <cols>
    <col min="1" max="1" width="12.5546875" bestFit="1" customWidth="1"/>
    <col min="2" max="2" width="19.21875" bestFit="1" customWidth="1"/>
  </cols>
  <sheetData>
    <row r="3" spans="1:2" x14ac:dyDescent="0.3">
      <c r="A3" s="11" t="s">
        <v>313</v>
      </c>
      <c r="B3" t="s">
        <v>316</v>
      </c>
    </row>
    <row r="4" spans="1:2" x14ac:dyDescent="0.3">
      <c r="A4" s="12" t="s">
        <v>19</v>
      </c>
      <c r="B4">
        <v>13656</v>
      </c>
    </row>
    <row r="5" spans="1:2" x14ac:dyDescent="0.3">
      <c r="A5" s="12" t="s">
        <v>314</v>
      </c>
      <c r="B5">
        <v>13656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9CD82-6D40-4BF4-91A6-09CAF31AE36A}">
  <dimension ref="A3:B7"/>
  <sheetViews>
    <sheetView workbookViewId="0">
      <selection activeCell="A3" sqref="A3"/>
    </sheetView>
  </sheetViews>
  <sheetFormatPr defaultRowHeight="14.4" x14ac:dyDescent="0.3"/>
  <cols>
    <col min="1" max="1" width="12.5546875" bestFit="1" customWidth="1"/>
    <col min="2" max="2" width="19.21875" bestFit="1" customWidth="1"/>
  </cols>
  <sheetData>
    <row r="3" spans="1:2" x14ac:dyDescent="0.3">
      <c r="A3" s="11" t="s">
        <v>313</v>
      </c>
      <c r="B3" t="s">
        <v>316</v>
      </c>
    </row>
    <row r="4" spans="1:2" x14ac:dyDescent="0.3">
      <c r="A4" s="12" t="s">
        <v>14</v>
      </c>
      <c r="B4">
        <v>6961</v>
      </c>
    </row>
    <row r="5" spans="1:2" x14ac:dyDescent="0.3">
      <c r="A5" s="12" t="s">
        <v>19</v>
      </c>
      <c r="B5">
        <v>13656</v>
      </c>
    </row>
    <row r="6" spans="1:2" x14ac:dyDescent="0.3">
      <c r="A6" s="12" t="s">
        <v>22</v>
      </c>
      <c r="B6">
        <v>14641</v>
      </c>
    </row>
    <row r="7" spans="1:2" x14ac:dyDescent="0.3">
      <c r="A7" s="12" t="s">
        <v>314</v>
      </c>
      <c r="B7">
        <v>35258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6A229-63C6-41DB-8983-23E1BAF8BBB8}">
  <dimension ref="A3:F5"/>
  <sheetViews>
    <sheetView workbookViewId="0">
      <selection activeCell="A3" sqref="A3"/>
    </sheetView>
  </sheetViews>
  <sheetFormatPr defaultRowHeight="14.4" x14ac:dyDescent="0.3"/>
  <cols>
    <col min="1" max="1" width="15.88671875" bestFit="1" customWidth="1"/>
    <col min="2" max="2" width="15.5546875" bestFit="1" customWidth="1"/>
    <col min="3" max="3" width="3.5546875" bestFit="1" customWidth="1"/>
    <col min="4" max="4" width="5" bestFit="1" customWidth="1"/>
    <col min="5" max="5" width="10.77734375" bestFit="1" customWidth="1"/>
    <col min="6" max="6" width="13.5546875" bestFit="1" customWidth="1"/>
  </cols>
  <sheetData>
    <row r="3" spans="1:6" x14ac:dyDescent="0.3">
      <c r="B3" s="11" t="s">
        <v>315</v>
      </c>
      <c r="F3" s="13" t="s">
        <v>355</v>
      </c>
    </row>
    <row r="4" spans="1:6" x14ac:dyDescent="0.3">
      <c r="B4" t="s">
        <v>323</v>
      </c>
      <c r="C4" t="s">
        <v>324</v>
      </c>
      <c r="D4" t="s">
        <v>325</v>
      </c>
      <c r="E4" t="s">
        <v>314</v>
      </c>
      <c r="F4" s="14">
        <f>B5/(B5+D5)</f>
        <v>0.3235294117647059</v>
      </c>
    </row>
    <row r="5" spans="1:6" x14ac:dyDescent="0.3">
      <c r="A5" t="s">
        <v>317</v>
      </c>
      <c r="B5">
        <v>11</v>
      </c>
      <c r="C5">
        <v>66</v>
      </c>
      <c r="D5">
        <v>23</v>
      </c>
      <c r="E5">
        <v>100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9D9A6-ED1E-49C7-AB76-6EB34F91A5E0}">
  <dimension ref="A3:B9"/>
  <sheetViews>
    <sheetView workbookViewId="0">
      <selection activeCell="A3" sqref="A3"/>
    </sheetView>
  </sheetViews>
  <sheetFormatPr defaultRowHeight="14.4" x14ac:dyDescent="0.3"/>
  <cols>
    <col min="1" max="1" width="12.5546875" bestFit="1" customWidth="1"/>
    <col min="2" max="2" width="19.21875" bestFit="1" customWidth="1"/>
  </cols>
  <sheetData>
    <row r="3" spans="1:2" x14ac:dyDescent="0.3">
      <c r="A3" s="11" t="s">
        <v>313</v>
      </c>
      <c r="B3" t="s">
        <v>316</v>
      </c>
    </row>
    <row r="4" spans="1:2" x14ac:dyDescent="0.3">
      <c r="A4" s="12" t="s">
        <v>30</v>
      </c>
      <c r="B4">
        <v>5456</v>
      </c>
    </row>
    <row r="5" spans="1:2" x14ac:dyDescent="0.3">
      <c r="A5" s="12" t="s">
        <v>17</v>
      </c>
      <c r="B5">
        <v>3635</v>
      </c>
    </row>
    <row r="6" spans="1:2" x14ac:dyDescent="0.3">
      <c r="A6" s="12" t="s">
        <v>12</v>
      </c>
      <c r="B6">
        <v>10491</v>
      </c>
    </row>
    <row r="7" spans="1:2" x14ac:dyDescent="0.3">
      <c r="A7" s="12" t="s">
        <v>21</v>
      </c>
      <c r="B7">
        <v>7317</v>
      </c>
    </row>
    <row r="8" spans="1:2" x14ac:dyDescent="0.3">
      <c r="A8" s="12" t="s">
        <v>33</v>
      </c>
      <c r="B8">
        <v>8359</v>
      </c>
    </row>
    <row r="9" spans="1:2" x14ac:dyDescent="0.3">
      <c r="A9" s="12" t="s">
        <v>314</v>
      </c>
      <c r="B9">
        <v>35258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5E189-A4FC-4915-82B4-8253BA897FB2}">
  <dimension ref="A3:B6"/>
  <sheetViews>
    <sheetView workbookViewId="0">
      <selection activeCell="A3" sqref="A3"/>
    </sheetView>
  </sheetViews>
  <sheetFormatPr defaultRowHeight="14.4" x14ac:dyDescent="0.3"/>
  <cols>
    <col min="1" max="1" width="12.5546875" bestFit="1" customWidth="1"/>
    <col min="2" max="2" width="15.88671875" bestFit="1" customWidth="1"/>
    <col min="3" max="3" width="14.88671875" bestFit="1" customWidth="1"/>
  </cols>
  <sheetData>
    <row r="3" spans="1:2" x14ac:dyDescent="0.3">
      <c r="A3" s="11" t="s">
        <v>313</v>
      </c>
      <c r="B3" t="s">
        <v>317</v>
      </c>
    </row>
    <row r="4" spans="1:2" x14ac:dyDescent="0.3">
      <c r="A4" s="12" t="s">
        <v>208</v>
      </c>
      <c r="B4" s="20">
        <v>8</v>
      </c>
    </row>
    <row r="5" spans="1:2" x14ac:dyDescent="0.3">
      <c r="A5" s="12" t="s">
        <v>210</v>
      </c>
      <c r="B5" s="20">
        <v>8</v>
      </c>
    </row>
    <row r="6" spans="1:2" x14ac:dyDescent="0.3">
      <c r="A6" s="12" t="s">
        <v>314</v>
      </c>
      <c r="B6" s="20">
        <v>16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FF371-5BD7-4315-97CE-73A1C2D2673C}">
  <dimension ref="A3:C9"/>
  <sheetViews>
    <sheetView workbookViewId="0">
      <selection activeCell="AD23" sqref="AD23"/>
    </sheetView>
  </sheetViews>
  <sheetFormatPr defaultRowHeight="14.4" x14ac:dyDescent="0.3"/>
  <cols>
    <col min="1" max="1" width="12.5546875" bestFit="1" customWidth="1"/>
    <col min="2" max="2" width="11.21875" bestFit="1" customWidth="1"/>
    <col min="3" max="4" width="10.88671875" bestFit="1" customWidth="1"/>
    <col min="5" max="5" width="6" bestFit="1" customWidth="1"/>
    <col min="6" max="6" width="5.21875" bestFit="1" customWidth="1"/>
    <col min="7" max="7" width="10.77734375" bestFit="1" customWidth="1"/>
  </cols>
  <sheetData>
    <row r="3" spans="1:3" x14ac:dyDescent="0.3">
      <c r="A3" s="11" t="s">
        <v>313</v>
      </c>
      <c r="B3" t="s">
        <v>356</v>
      </c>
      <c r="C3" t="s">
        <v>357</v>
      </c>
    </row>
    <row r="4" spans="1:3" x14ac:dyDescent="0.3">
      <c r="A4" s="12" t="s">
        <v>30</v>
      </c>
      <c r="B4" s="20" t="e">
        <v>#N/A</v>
      </c>
      <c r="C4" s="20">
        <v>5456</v>
      </c>
    </row>
    <row r="5" spans="1:3" x14ac:dyDescent="0.3">
      <c r="A5" s="12" t="s">
        <v>17</v>
      </c>
      <c r="B5" s="20" t="e">
        <v>#N/A</v>
      </c>
      <c r="C5" s="20">
        <v>3635</v>
      </c>
    </row>
    <row r="6" spans="1:3" x14ac:dyDescent="0.3">
      <c r="A6" s="12" t="s">
        <v>12</v>
      </c>
      <c r="B6" s="20">
        <v>10491</v>
      </c>
      <c r="C6" s="20" t="e">
        <v>#N/A</v>
      </c>
    </row>
    <row r="7" spans="1:3" x14ac:dyDescent="0.3">
      <c r="A7" s="12" t="s">
        <v>21</v>
      </c>
      <c r="B7" s="20">
        <v>7317</v>
      </c>
      <c r="C7" s="20" t="e">
        <v>#N/A</v>
      </c>
    </row>
    <row r="8" spans="1:3" x14ac:dyDescent="0.3">
      <c r="A8" s="12" t="s">
        <v>33</v>
      </c>
      <c r="B8" s="20">
        <v>8359</v>
      </c>
      <c r="C8" s="20" t="e">
        <v>#N/A</v>
      </c>
    </row>
    <row r="9" spans="1:3" x14ac:dyDescent="0.3">
      <c r="A9" s="12" t="s">
        <v>314</v>
      </c>
      <c r="B9" s="20">
        <v>35258</v>
      </c>
      <c r="C9" s="20" t="e">
        <v>#N/A</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E7B32-FFE7-477C-A5E9-214FEF8D8901}">
  <dimension ref="A2:D7"/>
  <sheetViews>
    <sheetView workbookViewId="0">
      <selection activeCell="D10" sqref="D10"/>
    </sheetView>
  </sheetViews>
  <sheetFormatPr defaultRowHeight="14.4" x14ac:dyDescent="0.3"/>
  <sheetData>
    <row r="2" spans="1:4" x14ac:dyDescent="0.3">
      <c r="A2" s="13" t="s">
        <v>1</v>
      </c>
      <c r="B2" s="13" t="s">
        <v>352</v>
      </c>
      <c r="C2" s="13" t="s">
        <v>353</v>
      </c>
      <c r="D2" s="13" t="s">
        <v>354</v>
      </c>
    </row>
    <row r="3" spans="1:4" x14ac:dyDescent="0.3">
      <c r="A3" s="12" t="s">
        <v>30</v>
      </c>
      <c r="B3">
        <v>5456</v>
      </c>
      <c r="C3" t="e">
        <f>IF(B3&gt;7000, B3, NA())</f>
        <v>#N/A</v>
      </c>
      <c r="D3">
        <f>IF(B3&lt;=7000, B3, NA())</f>
        <v>5456</v>
      </c>
    </row>
    <row r="4" spans="1:4" x14ac:dyDescent="0.3">
      <c r="A4" s="12" t="s">
        <v>17</v>
      </c>
      <c r="B4">
        <v>3635</v>
      </c>
      <c r="C4" t="e">
        <f>IF(B4&gt;7000, B4, NA())</f>
        <v>#N/A</v>
      </c>
      <c r="D4">
        <f>IF(B4&lt;=7000, B4, NA())</f>
        <v>3635</v>
      </c>
    </row>
    <row r="5" spans="1:4" x14ac:dyDescent="0.3">
      <c r="A5" s="12" t="s">
        <v>12</v>
      </c>
      <c r="B5">
        <v>10491</v>
      </c>
      <c r="C5">
        <f>IF(B5&gt;7000, B5, NA())</f>
        <v>10491</v>
      </c>
      <c r="D5" t="e">
        <f>IF(B5&lt;=7000, B5, NA())</f>
        <v>#N/A</v>
      </c>
    </row>
    <row r="6" spans="1:4" x14ac:dyDescent="0.3">
      <c r="A6" s="12" t="s">
        <v>21</v>
      </c>
      <c r="B6">
        <v>7317</v>
      </c>
      <c r="C6">
        <f>IF(B6&gt;7000, B6, NA())</f>
        <v>7317</v>
      </c>
      <c r="D6" t="e">
        <f>IF(B6&lt;=7000, B6, NA())</f>
        <v>#N/A</v>
      </c>
    </row>
    <row r="7" spans="1:4" x14ac:dyDescent="0.3">
      <c r="A7" s="12" t="s">
        <v>33</v>
      </c>
      <c r="B7">
        <v>8359</v>
      </c>
      <c r="C7">
        <f>IF(B7&gt;7000, B7, NA())</f>
        <v>8359</v>
      </c>
      <c r="D7" t="e">
        <f>IF(B7&lt;=7000, B7, NA())</f>
        <v>#N/A</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E8D6A-EB37-4B39-8016-C6DCAB7A6BAA}">
  <dimension ref="A3:B9"/>
  <sheetViews>
    <sheetView workbookViewId="0">
      <selection activeCell="A3" sqref="A3"/>
    </sheetView>
  </sheetViews>
  <sheetFormatPr defaultRowHeight="14.4" x14ac:dyDescent="0.3"/>
  <cols>
    <col min="1" max="1" width="12.5546875" bestFit="1" customWidth="1"/>
    <col min="2" max="2" width="19.21875" bestFit="1" customWidth="1"/>
  </cols>
  <sheetData>
    <row r="3" spans="1:2" x14ac:dyDescent="0.3">
      <c r="A3" s="11" t="s">
        <v>313</v>
      </c>
      <c r="B3" t="s">
        <v>316</v>
      </c>
    </row>
    <row r="4" spans="1:2" x14ac:dyDescent="0.3">
      <c r="A4" s="12" t="s">
        <v>28</v>
      </c>
      <c r="B4" s="20">
        <v>4719</v>
      </c>
    </row>
    <row r="5" spans="1:2" x14ac:dyDescent="0.3">
      <c r="A5" s="12" t="s">
        <v>13</v>
      </c>
      <c r="B5" s="20">
        <v>6144</v>
      </c>
    </row>
    <row r="6" spans="1:2" x14ac:dyDescent="0.3">
      <c r="A6" s="12" t="s">
        <v>18</v>
      </c>
      <c r="B6" s="20">
        <v>9398</v>
      </c>
    </row>
    <row r="7" spans="1:2" x14ac:dyDescent="0.3">
      <c r="A7" s="12" t="s">
        <v>31</v>
      </c>
      <c r="B7" s="20">
        <v>8348</v>
      </c>
    </row>
    <row r="8" spans="1:2" x14ac:dyDescent="0.3">
      <c r="A8" s="12" t="s">
        <v>24</v>
      </c>
      <c r="B8" s="20">
        <v>6649</v>
      </c>
    </row>
    <row r="9" spans="1:2" x14ac:dyDescent="0.3">
      <c r="A9" s="12" t="s">
        <v>314</v>
      </c>
      <c r="B9" s="20">
        <v>35258</v>
      </c>
    </row>
  </sheetData>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DF81B-2C7F-4DC5-9B29-3830DDE75CF1}">
  <dimension ref="A3:B7"/>
  <sheetViews>
    <sheetView workbookViewId="0">
      <selection activeCell="A3" sqref="A3"/>
    </sheetView>
  </sheetViews>
  <sheetFormatPr defaultRowHeight="14.4" x14ac:dyDescent="0.3"/>
  <cols>
    <col min="1" max="1" width="12.5546875" bestFit="1" customWidth="1"/>
    <col min="2" max="2" width="15.88671875" bestFit="1" customWidth="1"/>
  </cols>
  <sheetData>
    <row r="3" spans="1:2" x14ac:dyDescent="0.3">
      <c r="A3" s="11" t="s">
        <v>313</v>
      </c>
      <c r="B3" t="s">
        <v>317</v>
      </c>
    </row>
    <row r="4" spans="1:2" x14ac:dyDescent="0.3">
      <c r="A4" s="12" t="s">
        <v>14</v>
      </c>
      <c r="B4" s="20">
        <v>30</v>
      </c>
    </row>
    <row r="5" spans="1:2" x14ac:dyDescent="0.3">
      <c r="A5" s="12" t="s">
        <v>19</v>
      </c>
      <c r="B5" s="20">
        <v>34</v>
      </c>
    </row>
    <row r="6" spans="1:2" x14ac:dyDescent="0.3">
      <c r="A6" s="12" t="s">
        <v>22</v>
      </c>
      <c r="B6" s="20">
        <v>36</v>
      </c>
    </row>
    <row r="7" spans="1:2" x14ac:dyDescent="0.3">
      <c r="A7" s="12" t="s">
        <v>314</v>
      </c>
      <c r="B7" s="20">
        <v>100</v>
      </c>
    </row>
  </sheetData>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98580-8D96-4A06-A135-FB9B4E3D48B9}">
  <dimension ref="A3:B16"/>
  <sheetViews>
    <sheetView workbookViewId="0">
      <selection activeCell="A3" sqref="A3"/>
    </sheetView>
  </sheetViews>
  <sheetFormatPr defaultRowHeight="14.4" x14ac:dyDescent="0.3"/>
  <cols>
    <col min="1" max="1" width="12.5546875" bestFit="1" customWidth="1"/>
    <col min="2" max="2" width="19.21875" bestFit="1" customWidth="1"/>
  </cols>
  <sheetData>
    <row r="3" spans="1:2" x14ac:dyDescent="0.3">
      <c r="A3" s="11" t="s">
        <v>313</v>
      </c>
      <c r="B3" t="s">
        <v>316</v>
      </c>
    </row>
    <row r="4" spans="1:2" x14ac:dyDescent="0.3">
      <c r="A4" s="12" t="s">
        <v>327</v>
      </c>
      <c r="B4" s="20">
        <v>1099</v>
      </c>
    </row>
    <row r="5" spans="1:2" x14ac:dyDescent="0.3">
      <c r="A5" s="12" t="s">
        <v>328</v>
      </c>
      <c r="B5" s="20">
        <v>3712</v>
      </c>
    </row>
    <row r="6" spans="1:2" x14ac:dyDescent="0.3">
      <c r="A6" s="12" t="s">
        <v>329</v>
      </c>
      <c r="B6" s="20">
        <v>905</v>
      </c>
    </row>
    <row r="7" spans="1:2" x14ac:dyDescent="0.3">
      <c r="A7" s="12" t="s">
        <v>330</v>
      </c>
      <c r="B7" s="20">
        <v>2637</v>
      </c>
    </row>
    <row r="8" spans="1:2" x14ac:dyDescent="0.3">
      <c r="A8" s="12" t="s">
        <v>331</v>
      </c>
      <c r="B8" s="20">
        <v>4940</v>
      </c>
    </row>
    <row r="9" spans="1:2" x14ac:dyDescent="0.3">
      <c r="A9" s="12" t="s">
        <v>332</v>
      </c>
      <c r="B9" s="20">
        <v>2599</v>
      </c>
    </row>
    <row r="10" spans="1:2" x14ac:dyDescent="0.3">
      <c r="A10" s="12" t="s">
        <v>333</v>
      </c>
      <c r="B10" s="20">
        <v>3315</v>
      </c>
    </row>
    <row r="11" spans="1:2" x14ac:dyDescent="0.3">
      <c r="A11" s="12" t="s">
        <v>334</v>
      </c>
      <c r="B11" s="20">
        <v>782</v>
      </c>
    </row>
    <row r="12" spans="1:2" x14ac:dyDescent="0.3">
      <c r="A12" s="12" t="s">
        <v>335</v>
      </c>
      <c r="B12" s="20">
        <v>1570</v>
      </c>
    </row>
    <row r="13" spans="1:2" x14ac:dyDescent="0.3">
      <c r="A13" s="12" t="s">
        <v>336</v>
      </c>
      <c r="B13" s="20">
        <v>2920</v>
      </c>
    </row>
    <row r="14" spans="1:2" x14ac:dyDescent="0.3">
      <c r="A14" s="12" t="s">
        <v>337</v>
      </c>
      <c r="B14" s="20">
        <v>6312</v>
      </c>
    </row>
    <row r="15" spans="1:2" x14ac:dyDescent="0.3">
      <c r="A15" s="12" t="s">
        <v>338</v>
      </c>
      <c r="B15" s="20">
        <v>4467</v>
      </c>
    </row>
    <row r="16" spans="1:2" x14ac:dyDescent="0.3">
      <c r="A16" s="12" t="s">
        <v>314</v>
      </c>
      <c r="B16" s="20">
        <v>35258</v>
      </c>
    </row>
  </sheetData>
  <dataValidations count="1">
    <dataValidation type="list" allowBlank="1" showInputMessage="1" showErrorMessage="1" sqref="P7" xr:uid="{4230DC63-5B7C-4E63-9E24-5717F6DEEF01}">
      <formula1>$A$4:$A$15</formula1>
    </dataValidation>
  </dataValidations>
  <pageMargins left="0.7" right="0.7" top="0.75" bottom="0.75" header="0.3" footer="0.3"/>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5081B-7F5E-4FB9-83EE-959A3AF98F85}">
  <dimension ref="B3:D4"/>
  <sheetViews>
    <sheetView topLeftCell="A3" workbookViewId="0">
      <selection activeCell="B3" sqref="B3"/>
    </sheetView>
  </sheetViews>
  <sheetFormatPr defaultRowHeight="14.4" x14ac:dyDescent="0.3"/>
  <cols>
    <col min="2" max="2" width="15.88671875" bestFit="1" customWidth="1"/>
    <col min="3" max="3" width="19.21875" bestFit="1" customWidth="1"/>
    <col min="4" max="4" width="14.109375" bestFit="1" customWidth="1"/>
  </cols>
  <sheetData>
    <row r="3" spans="2:4" x14ac:dyDescent="0.3">
      <c r="B3" t="s">
        <v>317</v>
      </c>
      <c r="C3" t="s">
        <v>316</v>
      </c>
      <c r="D3" s="13" t="s">
        <v>340</v>
      </c>
    </row>
    <row r="4" spans="2:4" x14ac:dyDescent="0.3">
      <c r="B4" s="20">
        <v>100</v>
      </c>
      <c r="C4" s="20">
        <v>35258</v>
      </c>
      <c r="D4">
        <f>C4/B4</f>
        <v>352.58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Orders</vt:lpstr>
      <vt:lpstr>Product Master</vt:lpstr>
      <vt:lpstr>Region Master</vt:lpstr>
      <vt:lpstr>Customer Master</vt:lpstr>
      <vt:lpstr>Dashboard</vt:lpstr>
      <vt:lpstr>Q &amp; A</vt:lpstr>
      <vt:lpstr>2.1</vt:lpstr>
      <vt:lpstr>2.2</vt:lpstr>
      <vt:lpstr>2.3</vt:lpstr>
      <vt:lpstr>4.1</vt:lpstr>
      <vt:lpstr>4.2</vt:lpstr>
      <vt:lpstr>4.3.1</vt:lpstr>
      <vt:lpstr>4.3.2</vt:lpstr>
      <vt:lpstr>4.3.3</vt:lpstr>
      <vt:lpstr>4.3.4</vt:lpstr>
      <vt:lpstr>RegionwiseSales1</vt:lpstr>
      <vt:lpstr>RegionwiseSales2</vt:lpstr>
      <vt:lpstr>PaymentMethod</vt:lpstr>
      <vt:lpstr>DeliveryStatus</vt:lpstr>
      <vt:lpstr>MonthlySales</vt:lpstr>
      <vt:lpstr>AvgOrderValue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Vachaspati Mishra</dc:creator>
  <cp:lastModifiedBy>Mausam Mishra</cp:lastModifiedBy>
  <dcterms:created xsi:type="dcterms:W3CDTF">2015-06-05T18:17:20Z</dcterms:created>
  <dcterms:modified xsi:type="dcterms:W3CDTF">2026-03-10T19:20:40Z</dcterms:modified>
</cp:coreProperties>
</file>